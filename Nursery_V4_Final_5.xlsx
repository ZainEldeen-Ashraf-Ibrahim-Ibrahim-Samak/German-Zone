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onafide/Downloads/Backup29.4.2025/Backup 9.3.2025/Report/AI Report/Mohand file/"/>
    </mc:Choice>
  </mc:AlternateContent>
  <xr:revisionPtr revIDLastSave="0" documentId="8_{D619D7AC-BC77-B34F-A154-3715B28F7C81}" xr6:coauthVersionLast="47" xr6:coauthVersionMax="47" xr10:uidLastSave="{00000000-0000-0000-0000-000000000000}"/>
  <bookViews>
    <workbookView xWindow="0" yWindow="660" windowWidth="34560" windowHeight="20400" tabRatio="500" activeTab="14" xr2:uid="{00000000-000D-0000-FFFF-FFFF00000000}"/>
  </bookViews>
  <sheets>
    <sheet name="📊 داشبورد" sheetId="1" r:id="rId1"/>
    <sheet name="⚙️ الإعدادات" sheetId="2" r:id="rId2"/>
    <sheet name="👶 بيانات الأطفال" sheetId="3" r:id="rId3"/>
    <sheet name="👔 الرواتب" sheetId="4" r:id="rId4"/>
    <sheet name="💸 المصروفات" sheetId="5" r:id="rId5"/>
    <sheet name="📄 كشف حساب" sheetId="18" r:id="rId6"/>
    <sheet name="🎯 تخطيط التارجت" sheetId="19" r:id="rId7"/>
    <sheet name="يناير" sheetId="6" r:id="rId8"/>
    <sheet name="فبراير" sheetId="7" r:id="rId9"/>
    <sheet name="مارس" sheetId="8" r:id="rId10"/>
    <sheet name="أبريل" sheetId="9" r:id="rId11"/>
    <sheet name="مايو" sheetId="10" r:id="rId12"/>
    <sheet name="يونيو" sheetId="11" r:id="rId13"/>
    <sheet name="يوليو" sheetId="12" r:id="rId14"/>
    <sheet name="أغسطس" sheetId="13" r:id="rId15"/>
    <sheet name="سبتمبر" sheetId="14" r:id="rId16"/>
    <sheet name="أكتوبر" sheetId="15" r:id="rId17"/>
    <sheet name="نوفمبر" sheetId="16" r:id="rId18"/>
    <sheet name="ديسمبر" sheetId="17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4" i="19" l="1"/>
  <c r="F44" i="19" s="1"/>
  <c r="D43" i="19"/>
  <c r="F43" i="19" s="1"/>
  <c r="D42" i="19"/>
  <c r="F42" i="19" s="1"/>
  <c r="F41" i="19"/>
  <c r="D41" i="19"/>
  <c r="D40" i="19"/>
  <c r="F40" i="19" s="1"/>
  <c r="D39" i="19"/>
  <c r="F39" i="19" s="1"/>
  <c r="D38" i="19"/>
  <c r="F38" i="19" s="1"/>
  <c r="F37" i="19"/>
  <c r="F45" i="19" s="1"/>
  <c r="D37" i="19"/>
  <c r="G32" i="19"/>
  <c r="F32" i="19"/>
  <c r="D32" i="19"/>
  <c r="G31" i="19"/>
  <c r="F31" i="19"/>
  <c r="D31" i="19"/>
  <c r="G30" i="19"/>
  <c r="F30" i="19"/>
  <c r="D30" i="19"/>
  <c r="G29" i="19"/>
  <c r="F29" i="19"/>
  <c r="D29" i="19"/>
  <c r="G28" i="19"/>
  <c r="F28" i="19"/>
  <c r="D28" i="19"/>
  <c r="G27" i="19"/>
  <c r="F27" i="19"/>
  <c r="D27" i="19"/>
  <c r="G26" i="19"/>
  <c r="F26" i="19"/>
  <c r="D26" i="19"/>
  <c r="G25" i="19"/>
  <c r="F25" i="19"/>
  <c r="D25" i="19"/>
  <c r="C22" i="19"/>
  <c r="C18" i="19"/>
  <c r="F16" i="19"/>
  <c r="H16" i="19" s="1"/>
  <c r="F15" i="19"/>
  <c r="H15" i="19" s="1"/>
  <c r="B5" i="18"/>
  <c r="K4" i="18"/>
  <c r="B29" i="18" s="1"/>
  <c r="I104" i="17"/>
  <c r="H108" i="17" s="1"/>
  <c r="H104" i="17"/>
  <c r="H107" i="17" s="1"/>
  <c r="K103" i="17"/>
  <c r="J103" i="17"/>
  <c r="H103" i="17"/>
  <c r="C103" i="17"/>
  <c r="K102" i="17"/>
  <c r="J102" i="17"/>
  <c r="H102" i="17"/>
  <c r="C102" i="17"/>
  <c r="K101" i="17"/>
  <c r="J101" i="17"/>
  <c r="H101" i="17"/>
  <c r="C101" i="17"/>
  <c r="K100" i="17"/>
  <c r="H100" i="17"/>
  <c r="J100" i="17" s="1"/>
  <c r="C100" i="17"/>
  <c r="K99" i="17"/>
  <c r="J99" i="17"/>
  <c r="H99" i="17"/>
  <c r="C99" i="17"/>
  <c r="K98" i="17"/>
  <c r="J98" i="17"/>
  <c r="H98" i="17"/>
  <c r="C98" i="17"/>
  <c r="K97" i="17"/>
  <c r="J97" i="17"/>
  <c r="H97" i="17"/>
  <c r="C97" i="17"/>
  <c r="K96" i="17"/>
  <c r="H96" i="17"/>
  <c r="J96" i="17" s="1"/>
  <c r="C96" i="17"/>
  <c r="K95" i="17"/>
  <c r="J95" i="17"/>
  <c r="H95" i="17"/>
  <c r="C95" i="17"/>
  <c r="K94" i="17"/>
  <c r="J94" i="17"/>
  <c r="H94" i="17"/>
  <c r="C94" i="17"/>
  <c r="K93" i="17"/>
  <c r="J93" i="17"/>
  <c r="H93" i="17"/>
  <c r="C93" i="17"/>
  <c r="K92" i="17"/>
  <c r="H92" i="17"/>
  <c r="J92" i="17" s="1"/>
  <c r="C92" i="17"/>
  <c r="K91" i="17"/>
  <c r="J91" i="17"/>
  <c r="H91" i="17"/>
  <c r="C91" i="17"/>
  <c r="K90" i="17"/>
  <c r="J90" i="17"/>
  <c r="H90" i="17"/>
  <c r="C90" i="17"/>
  <c r="K89" i="17"/>
  <c r="J89" i="17"/>
  <c r="H89" i="17"/>
  <c r="C89" i="17"/>
  <c r="K88" i="17"/>
  <c r="H88" i="17"/>
  <c r="J88" i="17" s="1"/>
  <c r="C88" i="17"/>
  <c r="K87" i="17"/>
  <c r="J87" i="17"/>
  <c r="H87" i="17"/>
  <c r="C87" i="17"/>
  <c r="K86" i="17"/>
  <c r="J86" i="17"/>
  <c r="H86" i="17"/>
  <c r="C86" i="17"/>
  <c r="K85" i="17"/>
  <c r="J85" i="17"/>
  <c r="H85" i="17"/>
  <c r="C85" i="17"/>
  <c r="K84" i="17"/>
  <c r="H84" i="17"/>
  <c r="J84" i="17" s="1"/>
  <c r="C84" i="17"/>
  <c r="K83" i="17"/>
  <c r="J83" i="17"/>
  <c r="H83" i="17"/>
  <c r="C83" i="17"/>
  <c r="K82" i="17"/>
  <c r="J82" i="17"/>
  <c r="H82" i="17"/>
  <c r="C82" i="17"/>
  <c r="K81" i="17"/>
  <c r="J81" i="17"/>
  <c r="H81" i="17"/>
  <c r="C81" i="17"/>
  <c r="K80" i="17"/>
  <c r="H80" i="17"/>
  <c r="J80" i="17" s="1"/>
  <c r="C80" i="17"/>
  <c r="K79" i="17"/>
  <c r="J79" i="17"/>
  <c r="H79" i="17"/>
  <c r="C79" i="17"/>
  <c r="K78" i="17"/>
  <c r="J78" i="17"/>
  <c r="H78" i="17"/>
  <c r="C78" i="17"/>
  <c r="K77" i="17"/>
  <c r="J77" i="17"/>
  <c r="H77" i="17"/>
  <c r="C77" i="17"/>
  <c r="K76" i="17"/>
  <c r="H76" i="17"/>
  <c r="J76" i="17" s="1"/>
  <c r="C76" i="17"/>
  <c r="K75" i="17"/>
  <c r="J75" i="17"/>
  <c r="H75" i="17"/>
  <c r="C75" i="17"/>
  <c r="K74" i="17"/>
  <c r="J74" i="17"/>
  <c r="H74" i="17"/>
  <c r="C74" i="17"/>
  <c r="K73" i="17"/>
  <c r="J73" i="17"/>
  <c r="H73" i="17"/>
  <c r="C73" i="17"/>
  <c r="K72" i="17"/>
  <c r="H72" i="17"/>
  <c r="J72" i="17" s="1"/>
  <c r="C72" i="17"/>
  <c r="K71" i="17"/>
  <c r="J71" i="17"/>
  <c r="H71" i="17"/>
  <c r="C71" i="17"/>
  <c r="K70" i="17"/>
  <c r="J70" i="17"/>
  <c r="H70" i="17"/>
  <c r="C70" i="17"/>
  <c r="K69" i="17"/>
  <c r="J69" i="17"/>
  <c r="H69" i="17"/>
  <c r="C69" i="17"/>
  <c r="K68" i="17"/>
  <c r="H68" i="17"/>
  <c r="J68" i="17" s="1"/>
  <c r="C68" i="17"/>
  <c r="K67" i="17"/>
  <c r="J67" i="17"/>
  <c r="H67" i="17"/>
  <c r="C67" i="17"/>
  <c r="K66" i="17"/>
  <c r="J66" i="17"/>
  <c r="H66" i="17"/>
  <c r="C66" i="17"/>
  <c r="K65" i="17"/>
  <c r="J65" i="17"/>
  <c r="H65" i="17"/>
  <c r="C65" i="17"/>
  <c r="K64" i="17"/>
  <c r="H64" i="17"/>
  <c r="J64" i="17" s="1"/>
  <c r="C64" i="17"/>
  <c r="K63" i="17"/>
  <c r="J63" i="17"/>
  <c r="H63" i="17"/>
  <c r="C63" i="17"/>
  <c r="K62" i="17"/>
  <c r="J62" i="17"/>
  <c r="H62" i="17"/>
  <c r="C62" i="17"/>
  <c r="K61" i="17"/>
  <c r="J61" i="17"/>
  <c r="H61" i="17"/>
  <c r="C61" i="17"/>
  <c r="K60" i="17"/>
  <c r="H60" i="17"/>
  <c r="J60" i="17" s="1"/>
  <c r="C60" i="17"/>
  <c r="K59" i="17"/>
  <c r="J59" i="17"/>
  <c r="H59" i="17"/>
  <c r="C59" i="17"/>
  <c r="K58" i="17"/>
  <c r="J58" i="17"/>
  <c r="H58" i="17"/>
  <c r="C58" i="17"/>
  <c r="K57" i="17"/>
  <c r="J57" i="17"/>
  <c r="H57" i="17"/>
  <c r="C57" i="17"/>
  <c r="K56" i="17"/>
  <c r="H56" i="17"/>
  <c r="J56" i="17" s="1"/>
  <c r="C56" i="17"/>
  <c r="K55" i="17"/>
  <c r="J55" i="17"/>
  <c r="H55" i="17"/>
  <c r="C55" i="17"/>
  <c r="K54" i="17"/>
  <c r="J54" i="17"/>
  <c r="H54" i="17"/>
  <c r="C54" i="17"/>
  <c r="K53" i="17"/>
  <c r="J53" i="17"/>
  <c r="H53" i="17"/>
  <c r="C53" i="17"/>
  <c r="K52" i="17"/>
  <c r="H52" i="17"/>
  <c r="J52" i="17" s="1"/>
  <c r="C52" i="17"/>
  <c r="K51" i="17"/>
  <c r="J51" i="17"/>
  <c r="H51" i="17"/>
  <c r="C51" i="17"/>
  <c r="K50" i="17"/>
  <c r="J50" i="17"/>
  <c r="H50" i="17"/>
  <c r="C50" i="17"/>
  <c r="K49" i="17"/>
  <c r="J49" i="17"/>
  <c r="H49" i="17"/>
  <c r="C49" i="17"/>
  <c r="K48" i="17"/>
  <c r="H48" i="17"/>
  <c r="J48" i="17" s="1"/>
  <c r="C48" i="17"/>
  <c r="K47" i="17"/>
  <c r="J47" i="17"/>
  <c r="H47" i="17"/>
  <c r="C47" i="17"/>
  <c r="K46" i="17"/>
  <c r="J46" i="17"/>
  <c r="H46" i="17"/>
  <c r="C46" i="17"/>
  <c r="K45" i="17"/>
  <c r="J45" i="17"/>
  <c r="H45" i="17"/>
  <c r="C45" i="17"/>
  <c r="K44" i="17"/>
  <c r="H44" i="17"/>
  <c r="J44" i="17" s="1"/>
  <c r="C44" i="17"/>
  <c r="K43" i="17"/>
  <c r="J43" i="17"/>
  <c r="H43" i="17"/>
  <c r="C43" i="17"/>
  <c r="K42" i="17"/>
  <c r="J42" i="17"/>
  <c r="H42" i="17"/>
  <c r="C42" i="17"/>
  <c r="K41" i="17"/>
  <c r="J41" i="17"/>
  <c r="H41" i="17"/>
  <c r="C41" i="17"/>
  <c r="K40" i="17"/>
  <c r="H40" i="17"/>
  <c r="J40" i="17" s="1"/>
  <c r="C40" i="17"/>
  <c r="K39" i="17"/>
  <c r="J39" i="17"/>
  <c r="H39" i="17"/>
  <c r="C39" i="17"/>
  <c r="K38" i="17"/>
  <c r="J38" i="17"/>
  <c r="H38" i="17"/>
  <c r="C38" i="17"/>
  <c r="K37" i="17"/>
  <c r="J37" i="17"/>
  <c r="H37" i="17"/>
  <c r="C37" i="17"/>
  <c r="K36" i="17"/>
  <c r="H36" i="17"/>
  <c r="J36" i="17" s="1"/>
  <c r="C36" i="17"/>
  <c r="K35" i="17"/>
  <c r="J35" i="17"/>
  <c r="H35" i="17"/>
  <c r="C35" i="17"/>
  <c r="K34" i="17"/>
  <c r="J34" i="17"/>
  <c r="H34" i="17"/>
  <c r="C34" i="17"/>
  <c r="K33" i="17"/>
  <c r="J33" i="17"/>
  <c r="H33" i="17"/>
  <c r="C33" i="17"/>
  <c r="K32" i="17"/>
  <c r="H32" i="17"/>
  <c r="J32" i="17" s="1"/>
  <c r="C32" i="17"/>
  <c r="K31" i="17"/>
  <c r="J31" i="17"/>
  <c r="H31" i="17"/>
  <c r="C31" i="17"/>
  <c r="K30" i="17"/>
  <c r="J30" i="17"/>
  <c r="H30" i="17"/>
  <c r="C30" i="17"/>
  <c r="K29" i="17"/>
  <c r="J29" i="17"/>
  <c r="H29" i="17"/>
  <c r="C29" i="17"/>
  <c r="K28" i="17"/>
  <c r="H28" i="17"/>
  <c r="J28" i="17" s="1"/>
  <c r="C28" i="17"/>
  <c r="K27" i="17"/>
  <c r="J27" i="17"/>
  <c r="H27" i="17"/>
  <c r="C27" i="17"/>
  <c r="K26" i="17"/>
  <c r="J26" i="17"/>
  <c r="H26" i="17"/>
  <c r="C26" i="17"/>
  <c r="K25" i="17"/>
  <c r="J25" i="17"/>
  <c r="H25" i="17"/>
  <c r="C25" i="17"/>
  <c r="K24" i="17"/>
  <c r="H24" i="17"/>
  <c r="J24" i="17" s="1"/>
  <c r="C24" i="17"/>
  <c r="K23" i="17"/>
  <c r="J23" i="17"/>
  <c r="H23" i="17"/>
  <c r="C23" i="17"/>
  <c r="K22" i="17"/>
  <c r="J22" i="17"/>
  <c r="H22" i="17"/>
  <c r="C22" i="17"/>
  <c r="K21" i="17"/>
  <c r="J21" i="17"/>
  <c r="H21" i="17"/>
  <c r="C21" i="17"/>
  <c r="K20" i="17"/>
  <c r="H20" i="17"/>
  <c r="J20" i="17" s="1"/>
  <c r="C20" i="17"/>
  <c r="K19" i="17"/>
  <c r="J19" i="17"/>
  <c r="H19" i="17"/>
  <c r="C19" i="17"/>
  <c r="K18" i="17"/>
  <c r="J18" i="17"/>
  <c r="H18" i="17"/>
  <c r="C18" i="17"/>
  <c r="K17" i="17"/>
  <c r="J17" i="17"/>
  <c r="H17" i="17"/>
  <c r="C17" i="17"/>
  <c r="K16" i="17"/>
  <c r="H16" i="17"/>
  <c r="J16" i="17" s="1"/>
  <c r="C16" i="17"/>
  <c r="K15" i="17"/>
  <c r="J15" i="17"/>
  <c r="H15" i="17"/>
  <c r="C15" i="17"/>
  <c r="K14" i="17"/>
  <c r="J14" i="17"/>
  <c r="H14" i="17"/>
  <c r="C14" i="17"/>
  <c r="K13" i="17"/>
  <c r="J13" i="17"/>
  <c r="H13" i="17"/>
  <c r="C13" i="17"/>
  <c r="K12" i="17"/>
  <c r="H12" i="17"/>
  <c r="J12" i="17" s="1"/>
  <c r="C12" i="17"/>
  <c r="K11" i="17"/>
  <c r="J11" i="17"/>
  <c r="H11" i="17"/>
  <c r="C11" i="17"/>
  <c r="K10" i="17"/>
  <c r="J10" i="17"/>
  <c r="H10" i="17"/>
  <c r="C10" i="17"/>
  <c r="K9" i="17"/>
  <c r="J9" i="17"/>
  <c r="H9" i="17"/>
  <c r="C9" i="17"/>
  <c r="K8" i="17"/>
  <c r="H8" i="17"/>
  <c r="J8" i="17" s="1"/>
  <c r="C8" i="17"/>
  <c r="K7" i="17"/>
  <c r="J7" i="17"/>
  <c r="H7" i="17"/>
  <c r="C7" i="17"/>
  <c r="K6" i="17"/>
  <c r="J6" i="17"/>
  <c r="H6" i="17"/>
  <c r="C6" i="17"/>
  <c r="K5" i="17"/>
  <c r="J5" i="17"/>
  <c r="H5" i="17"/>
  <c r="C5" i="17"/>
  <c r="K4" i="17"/>
  <c r="K104" i="17" s="1"/>
  <c r="H4" i="17"/>
  <c r="J4" i="17" s="1"/>
  <c r="C4" i="17"/>
  <c r="H108" i="16"/>
  <c r="I104" i="16"/>
  <c r="K103" i="16"/>
  <c r="J103" i="16"/>
  <c r="H103" i="16"/>
  <c r="C103" i="16"/>
  <c r="K102" i="16"/>
  <c r="J102" i="16"/>
  <c r="H102" i="16"/>
  <c r="C102" i="16"/>
  <c r="K101" i="16"/>
  <c r="J101" i="16"/>
  <c r="H101" i="16"/>
  <c r="C101" i="16"/>
  <c r="K100" i="16"/>
  <c r="J100" i="16"/>
  <c r="H100" i="16"/>
  <c r="C100" i="16"/>
  <c r="K99" i="16"/>
  <c r="J99" i="16"/>
  <c r="H99" i="16"/>
  <c r="C99" i="16"/>
  <c r="K98" i="16"/>
  <c r="J98" i="16"/>
  <c r="H98" i="16"/>
  <c r="C98" i="16"/>
  <c r="K97" i="16"/>
  <c r="J97" i="16"/>
  <c r="H97" i="16"/>
  <c r="C97" i="16"/>
  <c r="K96" i="16"/>
  <c r="J96" i="16"/>
  <c r="H96" i="16"/>
  <c r="C96" i="16"/>
  <c r="K95" i="16"/>
  <c r="J95" i="16"/>
  <c r="H95" i="16"/>
  <c r="C95" i="16"/>
  <c r="K94" i="16"/>
  <c r="J94" i="16"/>
  <c r="H94" i="16"/>
  <c r="C94" i="16"/>
  <c r="K93" i="16"/>
  <c r="J93" i="16"/>
  <c r="H93" i="16"/>
  <c r="C93" i="16"/>
  <c r="K92" i="16"/>
  <c r="J92" i="16"/>
  <c r="H92" i="16"/>
  <c r="C92" i="16"/>
  <c r="K91" i="16"/>
  <c r="J91" i="16"/>
  <c r="H91" i="16"/>
  <c r="C91" i="16"/>
  <c r="K90" i="16"/>
  <c r="J90" i="16"/>
  <c r="H90" i="16"/>
  <c r="C90" i="16"/>
  <c r="K89" i="16"/>
  <c r="J89" i="16"/>
  <c r="H89" i="16"/>
  <c r="C89" i="16"/>
  <c r="K88" i="16"/>
  <c r="J88" i="16"/>
  <c r="H88" i="16"/>
  <c r="C88" i="16"/>
  <c r="K87" i="16"/>
  <c r="J87" i="16"/>
  <c r="H87" i="16"/>
  <c r="C87" i="16"/>
  <c r="K86" i="16"/>
  <c r="J86" i="16"/>
  <c r="H86" i="16"/>
  <c r="C86" i="16"/>
  <c r="K85" i="16"/>
  <c r="J85" i="16"/>
  <c r="H85" i="16"/>
  <c r="C85" i="16"/>
  <c r="K84" i="16"/>
  <c r="J84" i="16"/>
  <c r="H84" i="16"/>
  <c r="C84" i="16"/>
  <c r="K83" i="16"/>
  <c r="J83" i="16"/>
  <c r="H83" i="16"/>
  <c r="C83" i="16"/>
  <c r="K82" i="16"/>
  <c r="J82" i="16"/>
  <c r="H82" i="16"/>
  <c r="C82" i="16"/>
  <c r="K81" i="16"/>
  <c r="J81" i="16"/>
  <c r="H81" i="16"/>
  <c r="C81" i="16"/>
  <c r="K80" i="16"/>
  <c r="J80" i="16"/>
  <c r="H80" i="16"/>
  <c r="C80" i="16"/>
  <c r="K79" i="16"/>
  <c r="J79" i="16"/>
  <c r="H79" i="16"/>
  <c r="C79" i="16"/>
  <c r="K78" i="16"/>
  <c r="J78" i="16"/>
  <c r="H78" i="16"/>
  <c r="C78" i="16"/>
  <c r="K77" i="16"/>
  <c r="J77" i="16"/>
  <c r="H77" i="16"/>
  <c r="C77" i="16"/>
  <c r="K76" i="16"/>
  <c r="J76" i="16"/>
  <c r="H76" i="16"/>
  <c r="C76" i="16"/>
  <c r="K75" i="16"/>
  <c r="J75" i="16"/>
  <c r="H75" i="16"/>
  <c r="C75" i="16"/>
  <c r="K74" i="16"/>
  <c r="J74" i="16"/>
  <c r="H74" i="16"/>
  <c r="C74" i="16"/>
  <c r="K73" i="16"/>
  <c r="J73" i="16"/>
  <c r="H73" i="16"/>
  <c r="C73" i="16"/>
  <c r="K72" i="16"/>
  <c r="J72" i="16"/>
  <c r="H72" i="16"/>
  <c r="C72" i="16"/>
  <c r="K71" i="16"/>
  <c r="J71" i="16"/>
  <c r="H71" i="16"/>
  <c r="C71" i="16"/>
  <c r="K70" i="16"/>
  <c r="J70" i="16"/>
  <c r="H70" i="16"/>
  <c r="C70" i="16"/>
  <c r="K69" i="16"/>
  <c r="J69" i="16"/>
  <c r="H69" i="16"/>
  <c r="C69" i="16"/>
  <c r="K68" i="16"/>
  <c r="J68" i="16"/>
  <c r="H68" i="16"/>
  <c r="C68" i="16"/>
  <c r="K67" i="16"/>
  <c r="J67" i="16"/>
  <c r="H67" i="16"/>
  <c r="C67" i="16"/>
  <c r="K66" i="16"/>
  <c r="J66" i="16"/>
  <c r="H66" i="16"/>
  <c r="C66" i="16"/>
  <c r="K65" i="16"/>
  <c r="J65" i="16"/>
  <c r="H65" i="16"/>
  <c r="C65" i="16"/>
  <c r="K64" i="16"/>
  <c r="J64" i="16"/>
  <c r="H64" i="16"/>
  <c r="C64" i="16"/>
  <c r="K63" i="16"/>
  <c r="J63" i="16"/>
  <c r="H63" i="16"/>
  <c r="C63" i="16"/>
  <c r="K62" i="16"/>
  <c r="J62" i="16"/>
  <c r="H62" i="16"/>
  <c r="C62" i="16"/>
  <c r="K61" i="16"/>
  <c r="J61" i="16"/>
  <c r="H61" i="16"/>
  <c r="C61" i="16"/>
  <c r="K60" i="16"/>
  <c r="J60" i="16"/>
  <c r="H60" i="16"/>
  <c r="C60" i="16"/>
  <c r="K59" i="16"/>
  <c r="J59" i="16"/>
  <c r="H59" i="16"/>
  <c r="C59" i="16"/>
  <c r="K58" i="16"/>
  <c r="J58" i="16"/>
  <c r="H58" i="16"/>
  <c r="C58" i="16"/>
  <c r="K57" i="16"/>
  <c r="J57" i="16"/>
  <c r="H57" i="16"/>
  <c r="C57" i="16"/>
  <c r="K56" i="16"/>
  <c r="J56" i="16"/>
  <c r="H56" i="16"/>
  <c r="C56" i="16"/>
  <c r="K55" i="16"/>
  <c r="J55" i="16"/>
  <c r="H55" i="16"/>
  <c r="C55" i="16"/>
  <c r="K54" i="16"/>
  <c r="J54" i="16"/>
  <c r="H54" i="16"/>
  <c r="C54" i="16"/>
  <c r="K53" i="16"/>
  <c r="J53" i="16"/>
  <c r="H53" i="16"/>
  <c r="C53" i="16"/>
  <c r="K52" i="16"/>
  <c r="J52" i="16"/>
  <c r="H52" i="16"/>
  <c r="C52" i="16"/>
  <c r="K51" i="16"/>
  <c r="J51" i="16"/>
  <c r="H51" i="16"/>
  <c r="C51" i="16"/>
  <c r="K50" i="16"/>
  <c r="J50" i="16"/>
  <c r="H50" i="16"/>
  <c r="C50" i="16"/>
  <c r="K49" i="16"/>
  <c r="J49" i="16"/>
  <c r="H49" i="16"/>
  <c r="C49" i="16"/>
  <c r="K48" i="16"/>
  <c r="J48" i="16"/>
  <c r="H48" i="16"/>
  <c r="C48" i="16"/>
  <c r="K47" i="16"/>
  <c r="J47" i="16"/>
  <c r="H47" i="16"/>
  <c r="C47" i="16"/>
  <c r="K46" i="16"/>
  <c r="J46" i="16"/>
  <c r="H46" i="16"/>
  <c r="C46" i="16"/>
  <c r="K45" i="16"/>
  <c r="J45" i="16"/>
  <c r="H45" i="16"/>
  <c r="C45" i="16"/>
  <c r="K44" i="16"/>
  <c r="J44" i="16"/>
  <c r="H44" i="16"/>
  <c r="C44" i="16"/>
  <c r="K43" i="16"/>
  <c r="J43" i="16"/>
  <c r="H43" i="16"/>
  <c r="C43" i="16"/>
  <c r="K42" i="16"/>
  <c r="J42" i="16"/>
  <c r="H42" i="16"/>
  <c r="C42" i="16"/>
  <c r="K41" i="16"/>
  <c r="J41" i="16"/>
  <c r="H41" i="16"/>
  <c r="C41" i="16"/>
  <c r="K40" i="16"/>
  <c r="J40" i="16"/>
  <c r="H40" i="16"/>
  <c r="C40" i="16"/>
  <c r="K39" i="16"/>
  <c r="J39" i="16"/>
  <c r="H39" i="16"/>
  <c r="C39" i="16"/>
  <c r="K38" i="16"/>
  <c r="J38" i="16"/>
  <c r="H38" i="16"/>
  <c r="C38" i="16"/>
  <c r="K37" i="16"/>
  <c r="J37" i="16"/>
  <c r="H37" i="16"/>
  <c r="C37" i="16"/>
  <c r="K36" i="16"/>
  <c r="J36" i="16"/>
  <c r="H36" i="16"/>
  <c r="C36" i="16"/>
  <c r="K35" i="16"/>
  <c r="J35" i="16"/>
  <c r="H35" i="16"/>
  <c r="C35" i="16"/>
  <c r="K34" i="16"/>
  <c r="J34" i="16"/>
  <c r="H34" i="16"/>
  <c r="C34" i="16"/>
  <c r="K33" i="16"/>
  <c r="J33" i="16"/>
  <c r="H33" i="16"/>
  <c r="C33" i="16"/>
  <c r="K32" i="16"/>
  <c r="J32" i="16"/>
  <c r="H32" i="16"/>
  <c r="C32" i="16"/>
  <c r="K31" i="16"/>
  <c r="J31" i="16"/>
  <c r="H31" i="16"/>
  <c r="C31" i="16"/>
  <c r="K30" i="16"/>
  <c r="J30" i="16"/>
  <c r="H30" i="16"/>
  <c r="C30" i="16"/>
  <c r="K29" i="16"/>
  <c r="J29" i="16"/>
  <c r="H29" i="16"/>
  <c r="C29" i="16"/>
  <c r="K28" i="16"/>
  <c r="J28" i="16"/>
  <c r="H28" i="16"/>
  <c r="C28" i="16"/>
  <c r="K27" i="16"/>
  <c r="J27" i="16"/>
  <c r="H27" i="16"/>
  <c r="C27" i="16"/>
  <c r="K26" i="16"/>
  <c r="J26" i="16"/>
  <c r="H26" i="16"/>
  <c r="C26" i="16"/>
  <c r="K25" i="16"/>
  <c r="J25" i="16"/>
  <c r="H25" i="16"/>
  <c r="C25" i="16"/>
  <c r="K24" i="16"/>
  <c r="J24" i="16"/>
  <c r="H24" i="16"/>
  <c r="C24" i="16"/>
  <c r="K23" i="16"/>
  <c r="J23" i="16"/>
  <c r="H23" i="16"/>
  <c r="C23" i="16"/>
  <c r="K22" i="16"/>
  <c r="J22" i="16"/>
  <c r="H22" i="16"/>
  <c r="C22" i="16"/>
  <c r="K21" i="16"/>
  <c r="J21" i="16"/>
  <c r="H21" i="16"/>
  <c r="C21" i="16"/>
  <c r="K20" i="16"/>
  <c r="J20" i="16"/>
  <c r="H20" i="16"/>
  <c r="C20" i="16"/>
  <c r="K19" i="16"/>
  <c r="J19" i="16"/>
  <c r="H19" i="16"/>
  <c r="C19" i="16"/>
  <c r="K18" i="16"/>
  <c r="J18" i="16"/>
  <c r="H18" i="16"/>
  <c r="C18" i="16"/>
  <c r="K17" i="16"/>
  <c r="J17" i="16"/>
  <c r="H17" i="16"/>
  <c r="C17" i="16"/>
  <c r="K16" i="16"/>
  <c r="J16" i="16"/>
  <c r="H16" i="16"/>
  <c r="C16" i="16"/>
  <c r="K15" i="16"/>
  <c r="J15" i="16"/>
  <c r="H15" i="16"/>
  <c r="C15" i="16"/>
  <c r="K14" i="16"/>
  <c r="J14" i="16"/>
  <c r="H14" i="16"/>
  <c r="C14" i="16"/>
  <c r="K13" i="16"/>
  <c r="J13" i="16"/>
  <c r="H13" i="16"/>
  <c r="C13" i="16"/>
  <c r="K12" i="16"/>
  <c r="J12" i="16"/>
  <c r="H12" i="16"/>
  <c r="C12" i="16"/>
  <c r="K11" i="16"/>
  <c r="J11" i="16"/>
  <c r="H11" i="16"/>
  <c r="C11" i="16"/>
  <c r="K10" i="16"/>
  <c r="J10" i="16"/>
  <c r="H10" i="16"/>
  <c r="C10" i="16"/>
  <c r="K9" i="16"/>
  <c r="J9" i="16"/>
  <c r="H9" i="16"/>
  <c r="C9" i="16"/>
  <c r="K8" i="16"/>
  <c r="J8" i="16"/>
  <c r="H8" i="16"/>
  <c r="C8" i="16"/>
  <c r="K7" i="16"/>
  <c r="J7" i="16"/>
  <c r="H7" i="16"/>
  <c r="H104" i="16" s="1"/>
  <c r="C7" i="16"/>
  <c r="K6" i="16"/>
  <c r="J6" i="16"/>
  <c r="H6" i="16"/>
  <c r="C6" i="16"/>
  <c r="K5" i="16"/>
  <c r="J5" i="16"/>
  <c r="H5" i="16"/>
  <c r="C5" i="16"/>
  <c r="K4" i="16"/>
  <c r="K104" i="16" s="1"/>
  <c r="J4" i="16"/>
  <c r="J104" i="16" s="1"/>
  <c r="H4" i="16"/>
  <c r="C4" i="16"/>
  <c r="H108" i="15"/>
  <c r="I104" i="15"/>
  <c r="K103" i="15"/>
  <c r="J103" i="15"/>
  <c r="H103" i="15"/>
  <c r="C103" i="15"/>
  <c r="K102" i="15"/>
  <c r="J102" i="15"/>
  <c r="H102" i="15"/>
  <c r="C102" i="15"/>
  <c r="K101" i="15"/>
  <c r="J101" i="15"/>
  <c r="H101" i="15"/>
  <c r="C101" i="15"/>
  <c r="K100" i="15"/>
  <c r="J100" i="15"/>
  <c r="H100" i="15"/>
  <c r="C100" i="15"/>
  <c r="K99" i="15"/>
  <c r="J99" i="15"/>
  <c r="H99" i="15"/>
  <c r="C99" i="15"/>
  <c r="K98" i="15"/>
  <c r="J98" i="15"/>
  <c r="H98" i="15"/>
  <c r="C98" i="15"/>
  <c r="K97" i="15"/>
  <c r="J97" i="15"/>
  <c r="H97" i="15"/>
  <c r="C97" i="15"/>
  <c r="K96" i="15"/>
  <c r="J96" i="15"/>
  <c r="H96" i="15"/>
  <c r="C96" i="15"/>
  <c r="K95" i="15"/>
  <c r="J95" i="15"/>
  <c r="H95" i="15"/>
  <c r="C95" i="15"/>
  <c r="K94" i="15"/>
  <c r="J94" i="15"/>
  <c r="H94" i="15"/>
  <c r="C94" i="15"/>
  <c r="K93" i="15"/>
  <c r="J93" i="15"/>
  <c r="H93" i="15"/>
  <c r="C93" i="15"/>
  <c r="K92" i="15"/>
  <c r="J92" i="15"/>
  <c r="H92" i="15"/>
  <c r="C92" i="15"/>
  <c r="K91" i="15"/>
  <c r="J91" i="15"/>
  <c r="H91" i="15"/>
  <c r="C91" i="15"/>
  <c r="K90" i="15"/>
  <c r="J90" i="15"/>
  <c r="H90" i="15"/>
  <c r="C90" i="15"/>
  <c r="K89" i="15"/>
  <c r="J89" i="15"/>
  <c r="H89" i="15"/>
  <c r="C89" i="15"/>
  <c r="K88" i="15"/>
  <c r="J88" i="15"/>
  <c r="H88" i="15"/>
  <c r="C88" i="15"/>
  <c r="K87" i="15"/>
  <c r="J87" i="15"/>
  <c r="H87" i="15"/>
  <c r="C87" i="15"/>
  <c r="K86" i="15"/>
  <c r="J86" i="15"/>
  <c r="H86" i="15"/>
  <c r="C86" i="15"/>
  <c r="K85" i="15"/>
  <c r="J85" i="15"/>
  <c r="H85" i="15"/>
  <c r="C85" i="15"/>
  <c r="K84" i="15"/>
  <c r="J84" i="15"/>
  <c r="H84" i="15"/>
  <c r="C84" i="15"/>
  <c r="K83" i="15"/>
  <c r="J83" i="15"/>
  <c r="H83" i="15"/>
  <c r="C83" i="15"/>
  <c r="K82" i="15"/>
  <c r="J82" i="15"/>
  <c r="H82" i="15"/>
  <c r="C82" i="15"/>
  <c r="K81" i="15"/>
  <c r="J81" i="15"/>
  <c r="H81" i="15"/>
  <c r="C81" i="15"/>
  <c r="K80" i="15"/>
  <c r="J80" i="15"/>
  <c r="H80" i="15"/>
  <c r="C80" i="15"/>
  <c r="K79" i="15"/>
  <c r="J79" i="15"/>
  <c r="H79" i="15"/>
  <c r="C79" i="15"/>
  <c r="K78" i="15"/>
  <c r="J78" i="15"/>
  <c r="H78" i="15"/>
  <c r="C78" i="15"/>
  <c r="K77" i="15"/>
  <c r="J77" i="15"/>
  <c r="H77" i="15"/>
  <c r="C77" i="15"/>
  <c r="K76" i="15"/>
  <c r="J76" i="15"/>
  <c r="H76" i="15"/>
  <c r="C76" i="15"/>
  <c r="K75" i="15"/>
  <c r="J75" i="15"/>
  <c r="H75" i="15"/>
  <c r="C75" i="15"/>
  <c r="K74" i="15"/>
  <c r="J74" i="15"/>
  <c r="H74" i="15"/>
  <c r="C74" i="15"/>
  <c r="K73" i="15"/>
  <c r="J73" i="15"/>
  <c r="H73" i="15"/>
  <c r="C73" i="15"/>
  <c r="K72" i="15"/>
  <c r="J72" i="15"/>
  <c r="H72" i="15"/>
  <c r="C72" i="15"/>
  <c r="K71" i="15"/>
  <c r="J71" i="15"/>
  <c r="H71" i="15"/>
  <c r="C71" i="15"/>
  <c r="K70" i="15"/>
  <c r="J70" i="15"/>
  <c r="H70" i="15"/>
  <c r="C70" i="15"/>
  <c r="K69" i="15"/>
  <c r="J69" i="15"/>
  <c r="H69" i="15"/>
  <c r="C69" i="15"/>
  <c r="K68" i="15"/>
  <c r="J68" i="15"/>
  <c r="H68" i="15"/>
  <c r="C68" i="15"/>
  <c r="K67" i="15"/>
  <c r="J67" i="15"/>
  <c r="H67" i="15"/>
  <c r="C67" i="15"/>
  <c r="K66" i="15"/>
  <c r="J66" i="15"/>
  <c r="H66" i="15"/>
  <c r="C66" i="15"/>
  <c r="K65" i="15"/>
  <c r="J65" i="15"/>
  <c r="H65" i="15"/>
  <c r="C65" i="15"/>
  <c r="K64" i="15"/>
  <c r="J64" i="15"/>
  <c r="H64" i="15"/>
  <c r="C64" i="15"/>
  <c r="K63" i="15"/>
  <c r="J63" i="15"/>
  <c r="H63" i="15"/>
  <c r="C63" i="15"/>
  <c r="K62" i="15"/>
  <c r="J62" i="15"/>
  <c r="H62" i="15"/>
  <c r="C62" i="15"/>
  <c r="K61" i="15"/>
  <c r="J61" i="15"/>
  <c r="H61" i="15"/>
  <c r="C61" i="15"/>
  <c r="K60" i="15"/>
  <c r="J60" i="15"/>
  <c r="H60" i="15"/>
  <c r="C60" i="15"/>
  <c r="K59" i="15"/>
  <c r="J59" i="15"/>
  <c r="H59" i="15"/>
  <c r="C59" i="15"/>
  <c r="K58" i="15"/>
  <c r="J58" i="15"/>
  <c r="H58" i="15"/>
  <c r="C58" i="15"/>
  <c r="K57" i="15"/>
  <c r="J57" i="15"/>
  <c r="H57" i="15"/>
  <c r="C57" i="15"/>
  <c r="K56" i="15"/>
  <c r="J56" i="15"/>
  <c r="H56" i="15"/>
  <c r="C56" i="15"/>
  <c r="K55" i="15"/>
  <c r="J55" i="15"/>
  <c r="H55" i="15"/>
  <c r="C55" i="15"/>
  <c r="K54" i="15"/>
  <c r="J54" i="15"/>
  <c r="H54" i="15"/>
  <c r="C54" i="15"/>
  <c r="K53" i="15"/>
  <c r="J53" i="15"/>
  <c r="H53" i="15"/>
  <c r="C53" i="15"/>
  <c r="K52" i="15"/>
  <c r="J52" i="15"/>
  <c r="H52" i="15"/>
  <c r="C52" i="15"/>
  <c r="K51" i="15"/>
  <c r="J51" i="15"/>
  <c r="H51" i="15"/>
  <c r="C51" i="15"/>
  <c r="K50" i="15"/>
  <c r="J50" i="15"/>
  <c r="H50" i="15"/>
  <c r="C50" i="15"/>
  <c r="K49" i="15"/>
  <c r="J49" i="15"/>
  <c r="H49" i="15"/>
  <c r="C49" i="15"/>
  <c r="K48" i="15"/>
  <c r="J48" i="15"/>
  <c r="H48" i="15"/>
  <c r="C48" i="15"/>
  <c r="K47" i="15"/>
  <c r="J47" i="15"/>
  <c r="H47" i="15"/>
  <c r="C47" i="15"/>
  <c r="K46" i="15"/>
  <c r="J46" i="15"/>
  <c r="H46" i="15"/>
  <c r="C46" i="15"/>
  <c r="K45" i="15"/>
  <c r="J45" i="15"/>
  <c r="H45" i="15"/>
  <c r="C45" i="15"/>
  <c r="K44" i="15"/>
  <c r="J44" i="15"/>
  <c r="H44" i="15"/>
  <c r="C44" i="15"/>
  <c r="K43" i="15"/>
  <c r="J43" i="15"/>
  <c r="H43" i="15"/>
  <c r="C43" i="15"/>
  <c r="K42" i="15"/>
  <c r="J42" i="15"/>
  <c r="H42" i="15"/>
  <c r="C42" i="15"/>
  <c r="K41" i="15"/>
  <c r="J41" i="15"/>
  <c r="H41" i="15"/>
  <c r="C41" i="15"/>
  <c r="K40" i="15"/>
  <c r="J40" i="15"/>
  <c r="H40" i="15"/>
  <c r="C40" i="15"/>
  <c r="K39" i="15"/>
  <c r="J39" i="15"/>
  <c r="H39" i="15"/>
  <c r="C39" i="15"/>
  <c r="K38" i="15"/>
  <c r="J38" i="15"/>
  <c r="H38" i="15"/>
  <c r="C38" i="15"/>
  <c r="K37" i="15"/>
  <c r="J37" i="15"/>
  <c r="H37" i="15"/>
  <c r="C37" i="15"/>
  <c r="K36" i="15"/>
  <c r="J36" i="15"/>
  <c r="H36" i="15"/>
  <c r="C36" i="15"/>
  <c r="K35" i="15"/>
  <c r="J35" i="15"/>
  <c r="H35" i="15"/>
  <c r="C35" i="15"/>
  <c r="K34" i="15"/>
  <c r="J34" i="15"/>
  <c r="H34" i="15"/>
  <c r="C34" i="15"/>
  <c r="K33" i="15"/>
  <c r="J33" i="15"/>
  <c r="H33" i="15"/>
  <c r="C33" i="15"/>
  <c r="K32" i="15"/>
  <c r="J32" i="15"/>
  <c r="H32" i="15"/>
  <c r="C32" i="15"/>
  <c r="K31" i="15"/>
  <c r="J31" i="15"/>
  <c r="H31" i="15"/>
  <c r="C31" i="15"/>
  <c r="K30" i="15"/>
  <c r="J30" i="15"/>
  <c r="H30" i="15"/>
  <c r="C30" i="15"/>
  <c r="K29" i="15"/>
  <c r="J29" i="15"/>
  <c r="H29" i="15"/>
  <c r="C29" i="15"/>
  <c r="K28" i="15"/>
  <c r="J28" i="15"/>
  <c r="H28" i="15"/>
  <c r="C28" i="15"/>
  <c r="K27" i="15"/>
  <c r="J27" i="15"/>
  <c r="H27" i="15"/>
  <c r="C27" i="15"/>
  <c r="K26" i="15"/>
  <c r="J26" i="15"/>
  <c r="H26" i="15"/>
  <c r="C26" i="15"/>
  <c r="K25" i="15"/>
  <c r="J25" i="15"/>
  <c r="H25" i="15"/>
  <c r="C25" i="15"/>
  <c r="K24" i="15"/>
  <c r="J24" i="15"/>
  <c r="H24" i="15"/>
  <c r="C24" i="15"/>
  <c r="K23" i="15"/>
  <c r="J23" i="15"/>
  <c r="H23" i="15"/>
  <c r="C23" i="15"/>
  <c r="K22" i="15"/>
  <c r="J22" i="15"/>
  <c r="H22" i="15"/>
  <c r="C22" i="15"/>
  <c r="K21" i="15"/>
  <c r="J21" i="15"/>
  <c r="H21" i="15"/>
  <c r="C21" i="15"/>
  <c r="K20" i="15"/>
  <c r="J20" i="15"/>
  <c r="H20" i="15"/>
  <c r="C20" i="15"/>
  <c r="K19" i="15"/>
  <c r="J19" i="15"/>
  <c r="H19" i="15"/>
  <c r="C19" i="15"/>
  <c r="K18" i="15"/>
  <c r="J18" i="15"/>
  <c r="H18" i="15"/>
  <c r="C18" i="15"/>
  <c r="K17" i="15"/>
  <c r="J17" i="15"/>
  <c r="H17" i="15"/>
  <c r="C17" i="15"/>
  <c r="K16" i="15"/>
  <c r="J16" i="15"/>
  <c r="H16" i="15"/>
  <c r="C16" i="15"/>
  <c r="K15" i="15"/>
  <c r="J15" i="15"/>
  <c r="H15" i="15"/>
  <c r="C15" i="15"/>
  <c r="K14" i="15"/>
  <c r="J14" i="15"/>
  <c r="H14" i="15"/>
  <c r="C14" i="15"/>
  <c r="K13" i="15"/>
  <c r="J13" i="15"/>
  <c r="H13" i="15"/>
  <c r="C13" i="15"/>
  <c r="K12" i="15"/>
  <c r="J12" i="15"/>
  <c r="H12" i="15"/>
  <c r="C12" i="15"/>
  <c r="K11" i="15"/>
  <c r="J11" i="15"/>
  <c r="H11" i="15"/>
  <c r="C11" i="15"/>
  <c r="K10" i="15"/>
  <c r="J10" i="15"/>
  <c r="H10" i="15"/>
  <c r="C10" i="15"/>
  <c r="K9" i="15"/>
  <c r="J9" i="15"/>
  <c r="H9" i="15"/>
  <c r="C9" i="15"/>
  <c r="K8" i="15"/>
  <c r="J8" i="15"/>
  <c r="H8" i="15"/>
  <c r="C8" i="15"/>
  <c r="K7" i="15"/>
  <c r="J7" i="15"/>
  <c r="H7" i="15"/>
  <c r="C7" i="15"/>
  <c r="K6" i="15"/>
  <c r="J6" i="15"/>
  <c r="H6" i="15"/>
  <c r="H104" i="15" s="1"/>
  <c r="C6" i="15"/>
  <c r="K5" i="15"/>
  <c r="J5" i="15"/>
  <c r="H5" i="15"/>
  <c r="C5" i="15"/>
  <c r="K4" i="15"/>
  <c r="K104" i="15" s="1"/>
  <c r="J4" i="15"/>
  <c r="J104" i="15" s="1"/>
  <c r="H4" i="15"/>
  <c r="C4" i="15"/>
  <c r="H108" i="14"/>
  <c r="I104" i="14"/>
  <c r="H104" i="14"/>
  <c r="H107" i="14" s="1"/>
  <c r="K103" i="14"/>
  <c r="J103" i="14"/>
  <c r="H103" i="14"/>
  <c r="C103" i="14"/>
  <c r="K102" i="14"/>
  <c r="J102" i="14"/>
  <c r="H102" i="14"/>
  <c r="C102" i="14"/>
  <c r="K101" i="14"/>
  <c r="J101" i="14"/>
  <c r="H101" i="14"/>
  <c r="C101" i="14"/>
  <c r="K100" i="14"/>
  <c r="J100" i="14"/>
  <c r="H100" i="14"/>
  <c r="C100" i="14"/>
  <c r="K99" i="14"/>
  <c r="J99" i="14"/>
  <c r="H99" i="14"/>
  <c r="C99" i="14"/>
  <c r="K98" i="14"/>
  <c r="J98" i="14"/>
  <c r="H98" i="14"/>
  <c r="C98" i="14"/>
  <c r="K97" i="14"/>
  <c r="J97" i="14"/>
  <c r="H97" i="14"/>
  <c r="C97" i="14"/>
  <c r="K96" i="14"/>
  <c r="J96" i="14"/>
  <c r="H96" i="14"/>
  <c r="C96" i="14"/>
  <c r="K95" i="14"/>
  <c r="J95" i="14"/>
  <c r="H95" i="14"/>
  <c r="C95" i="14"/>
  <c r="K94" i="14"/>
  <c r="J94" i="14"/>
  <c r="H94" i="14"/>
  <c r="C94" i="14"/>
  <c r="K93" i="14"/>
  <c r="J93" i="14"/>
  <c r="H93" i="14"/>
  <c r="C93" i="14"/>
  <c r="K92" i="14"/>
  <c r="J92" i="14"/>
  <c r="H92" i="14"/>
  <c r="C92" i="14"/>
  <c r="K91" i="14"/>
  <c r="J91" i="14"/>
  <c r="H91" i="14"/>
  <c r="C91" i="14"/>
  <c r="K90" i="14"/>
  <c r="J90" i="14"/>
  <c r="H90" i="14"/>
  <c r="C90" i="14"/>
  <c r="K89" i="14"/>
  <c r="J89" i="14"/>
  <c r="H89" i="14"/>
  <c r="C89" i="14"/>
  <c r="K88" i="14"/>
  <c r="J88" i="14"/>
  <c r="H88" i="14"/>
  <c r="C88" i="14"/>
  <c r="K87" i="14"/>
  <c r="J87" i="14"/>
  <c r="H87" i="14"/>
  <c r="C87" i="14"/>
  <c r="K86" i="14"/>
  <c r="J86" i="14"/>
  <c r="H86" i="14"/>
  <c r="C86" i="14"/>
  <c r="K85" i="14"/>
  <c r="J85" i="14"/>
  <c r="H85" i="14"/>
  <c r="C85" i="14"/>
  <c r="K84" i="14"/>
  <c r="J84" i="14"/>
  <c r="H84" i="14"/>
  <c r="C84" i="14"/>
  <c r="K83" i="14"/>
  <c r="J83" i="14"/>
  <c r="H83" i="14"/>
  <c r="C83" i="14"/>
  <c r="K82" i="14"/>
  <c r="J82" i="14"/>
  <c r="H82" i="14"/>
  <c r="C82" i="14"/>
  <c r="K81" i="14"/>
  <c r="J81" i="14"/>
  <c r="H81" i="14"/>
  <c r="C81" i="14"/>
  <c r="K80" i="14"/>
  <c r="J80" i="14"/>
  <c r="H80" i="14"/>
  <c r="C80" i="14"/>
  <c r="K79" i="14"/>
  <c r="J79" i="14"/>
  <c r="H79" i="14"/>
  <c r="C79" i="14"/>
  <c r="K78" i="14"/>
  <c r="J78" i="14"/>
  <c r="H78" i="14"/>
  <c r="C78" i="14"/>
  <c r="K77" i="14"/>
  <c r="J77" i="14"/>
  <c r="H77" i="14"/>
  <c r="C77" i="14"/>
  <c r="K76" i="14"/>
  <c r="J76" i="14"/>
  <c r="H76" i="14"/>
  <c r="C76" i="14"/>
  <c r="K75" i="14"/>
  <c r="J75" i="14"/>
  <c r="H75" i="14"/>
  <c r="C75" i="14"/>
  <c r="K74" i="14"/>
  <c r="J74" i="14"/>
  <c r="H74" i="14"/>
  <c r="C74" i="14"/>
  <c r="K73" i="14"/>
  <c r="J73" i="14"/>
  <c r="H73" i="14"/>
  <c r="C73" i="14"/>
  <c r="K72" i="14"/>
  <c r="J72" i="14"/>
  <c r="H72" i="14"/>
  <c r="C72" i="14"/>
  <c r="K71" i="14"/>
  <c r="J71" i="14"/>
  <c r="H71" i="14"/>
  <c r="C71" i="14"/>
  <c r="K70" i="14"/>
  <c r="J70" i="14"/>
  <c r="H70" i="14"/>
  <c r="C70" i="14"/>
  <c r="K69" i="14"/>
  <c r="J69" i="14"/>
  <c r="H69" i="14"/>
  <c r="C69" i="14"/>
  <c r="K68" i="14"/>
  <c r="J68" i="14"/>
  <c r="H68" i="14"/>
  <c r="C68" i="14"/>
  <c r="K67" i="14"/>
  <c r="J67" i="14"/>
  <c r="H67" i="14"/>
  <c r="C67" i="14"/>
  <c r="K66" i="14"/>
  <c r="J66" i="14"/>
  <c r="H66" i="14"/>
  <c r="C66" i="14"/>
  <c r="K65" i="14"/>
  <c r="J65" i="14"/>
  <c r="H65" i="14"/>
  <c r="C65" i="14"/>
  <c r="K64" i="14"/>
  <c r="J64" i="14"/>
  <c r="H64" i="14"/>
  <c r="C64" i="14"/>
  <c r="K63" i="14"/>
  <c r="J63" i="14"/>
  <c r="H63" i="14"/>
  <c r="C63" i="14"/>
  <c r="K62" i="14"/>
  <c r="J62" i="14"/>
  <c r="H62" i="14"/>
  <c r="C62" i="14"/>
  <c r="K61" i="14"/>
  <c r="J61" i="14"/>
  <c r="H61" i="14"/>
  <c r="C61" i="14"/>
  <c r="K60" i="14"/>
  <c r="J60" i="14"/>
  <c r="H60" i="14"/>
  <c r="C60" i="14"/>
  <c r="K59" i="14"/>
  <c r="J59" i="14"/>
  <c r="H59" i="14"/>
  <c r="C59" i="14"/>
  <c r="K58" i="14"/>
  <c r="J58" i="14"/>
  <c r="H58" i="14"/>
  <c r="C58" i="14"/>
  <c r="K57" i="14"/>
  <c r="J57" i="14"/>
  <c r="H57" i="14"/>
  <c r="C57" i="14"/>
  <c r="K56" i="14"/>
  <c r="J56" i="14"/>
  <c r="H56" i="14"/>
  <c r="C56" i="14"/>
  <c r="K55" i="14"/>
  <c r="J55" i="14"/>
  <c r="H55" i="14"/>
  <c r="C55" i="14"/>
  <c r="K54" i="14"/>
  <c r="J54" i="14"/>
  <c r="H54" i="14"/>
  <c r="C54" i="14"/>
  <c r="K53" i="14"/>
  <c r="J53" i="14"/>
  <c r="H53" i="14"/>
  <c r="C53" i="14"/>
  <c r="K52" i="14"/>
  <c r="J52" i="14"/>
  <c r="H52" i="14"/>
  <c r="C52" i="14"/>
  <c r="K51" i="14"/>
  <c r="J51" i="14"/>
  <c r="H51" i="14"/>
  <c r="C51" i="14"/>
  <c r="K50" i="14"/>
  <c r="J50" i="14"/>
  <c r="H50" i="14"/>
  <c r="C50" i="14"/>
  <c r="K49" i="14"/>
  <c r="J49" i="14"/>
  <c r="H49" i="14"/>
  <c r="C49" i="14"/>
  <c r="K48" i="14"/>
  <c r="J48" i="14"/>
  <c r="H48" i="14"/>
  <c r="C48" i="14"/>
  <c r="K47" i="14"/>
  <c r="J47" i="14"/>
  <c r="H47" i="14"/>
  <c r="C47" i="14"/>
  <c r="K46" i="14"/>
  <c r="J46" i="14"/>
  <c r="H46" i="14"/>
  <c r="C46" i="14"/>
  <c r="K45" i="14"/>
  <c r="J45" i="14"/>
  <c r="H45" i="14"/>
  <c r="C45" i="14"/>
  <c r="K44" i="14"/>
  <c r="J44" i="14"/>
  <c r="H44" i="14"/>
  <c r="C44" i="14"/>
  <c r="K43" i="14"/>
  <c r="J43" i="14"/>
  <c r="H43" i="14"/>
  <c r="C43" i="14"/>
  <c r="K42" i="14"/>
  <c r="J42" i="14"/>
  <c r="H42" i="14"/>
  <c r="C42" i="14"/>
  <c r="K41" i="14"/>
  <c r="J41" i="14"/>
  <c r="H41" i="14"/>
  <c r="C41" i="14"/>
  <c r="K40" i="14"/>
  <c r="J40" i="14"/>
  <c r="H40" i="14"/>
  <c r="C40" i="14"/>
  <c r="K39" i="14"/>
  <c r="J39" i="14"/>
  <c r="H39" i="14"/>
  <c r="C39" i="14"/>
  <c r="K38" i="14"/>
  <c r="J38" i="14"/>
  <c r="H38" i="14"/>
  <c r="C38" i="14"/>
  <c r="K37" i="14"/>
  <c r="J37" i="14"/>
  <c r="H37" i="14"/>
  <c r="C37" i="14"/>
  <c r="K36" i="14"/>
  <c r="J36" i="14"/>
  <c r="H36" i="14"/>
  <c r="C36" i="14"/>
  <c r="K35" i="14"/>
  <c r="J35" i="14"/>
  <c r="H35" i="14"/>
  <c r="C35" i="14"/>
  <c r="K34" i="14"/>
  <c r="J34" i="14"/>
  <c r="H34" i="14"/>
  <c r="C34" i="14"/>
  <c r="K33" i="14"/>
  <c r="J33" i="14"/>
  <c r="H33" i="14"/>
  <c r="C33" i="14"/>
  <c r="K32" i="14"/>
  <c r="J32" i="14"/>
  <c r="H32" i="14"/>
  <c r="C32" i="14"/>
  <c r="K31" i="14"/>
  <c r="J31" i="14"/>
  <c r="H31" i="14"/>
  <c r="C31" i="14"/>
  <c r="K30" i="14"/>
  <c r="J30" i="14"/>
  <c r="H30" i="14"/>
  <c r="C30" i="14"/>
  <c r="K29" i="14"/>
  <c r="J29" i="14"/>
  <c r="H29" i="14"/>
  <c r="C29" i="14"/>
  <c r="K28" i="14"/>
  <c r="J28" i="14"/>
  <c r="H28" i="14"/>
  <c r="C28" i="14"/>
  <c r="K27" i="14"/>
  <c r="J27" i="14"/>
  <c r="H27" i="14"/>
  <c r="C27" i="14"/>
  <c r="K26" i="14"/>
  <c r="J26" i="14"/>
  <c r="H26" i="14"/>
  <c r="C26" i="14"/>
  <c r="K25" i="14"/>
  <c r="J25" i="14"/>
  <c r="H25" i="14"/>
  <c r="C25" i="14"/>
  <c r="K24" i="14"/>
  <c r="J24" i="14"/>
  <c r="H24" i="14"/>
  <c r="C24" i="14"/>
  <c r="K23" i="14"/>
  <c r="J23" i="14"/>
  <c r="H23" i="14"/>
  <c r="C23" i="14"/>
  <c r="K22" i="14"/>
  <c r="J22" i="14"/>
  <c r="H22" i="14"/>
  <c r="C22" i="14"/>
  <c r="K21" i="14"/>
  <c r="J21" i="14"/>
  <c r="H21" i="14"/>
  <c r="C21" i="14"/>
  <c r="K20" i="14"/>
  <c r="J20" i="14"/>
  <c r="H20" i="14"/>
  <c r="C20" i="14"/>
  <c r="K19" i="14"/>
  <c r="J19" i="14"/>
  <c r="H19" i="14"/>
  <c r="C19" i="14"/>
  <c r="K18" i="14"/>
  <c r="J18" i="14"/>
  <c r="H18" i="14"/>
  <c r="C18" i="14"/>
  <c r="K17" i="14"/>
  <c r="J17" i="14"/>
  <c r="H17" i="14"/>
  <c r="C17" i="14"/>
  <c r="K16" i="14"/>
  <c r="J16" i="14"/>
  <c r="H16" i="14"/>
  <c r="C16" i="14"/>
  <c r="K15" i="14"/>
  <c r="J15" i="14"/>
  <c r="H15" i="14"/>
  <c r="C15" i="14"/>
  <c r="K14" i="14"/>
  <c r="J14" i="14"/>
  <c r="H14" i="14"/>
  <c r="C14" i="14"/>
  <c r="K13" i="14"/>
  <c r="J13" i="14"/>
  <c r="H13" i="14"/>
  <c r="C13" i="14"/>
  <c r="K12" i="14"/>
  <c r="J12" i="14"/>
  <c r="H12" i="14"/>
  <c r="C12" i="14"/>
  <c r="K11" i="14"/>
  <c r="J11" i="14"/>
  <c r="H11" i="14"/>
  <c r="C11" i="14"/>
  <c r="K10" i="14"/>
  <c r="J10" i="14"/>
  <c r="H10" i="14"/>
  <c r="C10" i="14"/>
  <c r="K9" i="14"/>
  <c r="J9" i="14"/>
  <c r="H9" i="14"/>
  <c r="C9" i="14"/>
  <c r="K8" i="14"/>
  <c r="J8" i="14"/>
  <c r="H8" i="14"/>
  <c r="C8" i="14"/>
  <c r="K7" i="14"/>
  <c r="J7" i="14"/>
  <c r="H7" i="14"/>
  <c r="C7" i="14"/>
  <c r="K6" i="14"/>
  <c r="J6" i="14"/>
  <c r="H6" i="14"/>
  <c r="C6" i="14"/>
  <c r="K5" i="14"/>
  <c r="J5" i="14"/>
  <c r="H5" i="14"/>
  <c r="C5" i="14"/>
  <c r="K4" i="14"/>
  <c r="K104" i="14" s="1"/>
  <c r="J4" i="14"/>
  <c r="J104" i="14" s="1"/>
  <c r="H4" i="14"/>
  <c r="C4" i="14"/>
  <c r="I104" i="13"/>
  <c r="H108" i="13" s="1"/>
  <c r="H104" i="13"/>
  <c r="H107" i="13" s="1"/>
  <c r="K103" i="13"/>
  <c r="J103" i="13"/>
  <c r="H103" i="13"/>
  <c r="C103" i="13"/>
  <c r="K102" i="13"/>
  <c r="J102" i="13"/>
  <c r="H102" i="13"/>
  <c r="C102" i="13"/>
  <c r="K101" i="13"/>
  <c r="J101" i="13"/>
  <c r="H101" i="13"/>
  <c r="C101" i="13"/>
  <c r="K100" i="13"/>
  <c r="J100" i="13"/>
  <c r="H100" i="13"/>
  <c r="C100" i="13"/>
  <c r="K99" i="13"/>
  <c r="J99" i="13"/>
  <c r="H99" i="13"/>
  <c r="C99" i="13"/>
  <c r="K98" i="13"/>
  <c r="J98" i="13"/>
  <c r="H98" i="13"/>
  <c r="C98" i="13"/>
  <c r="K97" i="13"/>
  <c r="J97" i="13"/>
  <c r="H97" i="13"/>
  <c r="C97" i="13"/>
  <c r="K96" i="13"/>
  <c r="J96" i="13"/>
  <c r="H96" i="13"/>
  <c r="C96" i="13"/>
  <c r="K95" i="13"/>
  <c r="J95" i="13"/>
  <c r="H95" i="13"/>
  <c r="C95" i="13"/>
  <c r="K94" i="13"/>
  <c r="J94" i="13"/>
  <c r="H94" i="13"/>
  <c r="C94" i="13"/>
  <c r="K93" i="13"/>
  <c r="J93" i="13"/>
  <c r="H93" i="13"/>
  <c r="C93" i="13"/>
  <c r="K92" i="13"/>
  <c r="J92" i="13"/>
  <c r="H92" i="13"/>
  <c r="C92" i="13"/>
  <c r="K91" i="13"/>
  <c r="J91" i="13"/>
  <c r="H91" i="13"/>
  <c r="C91" i="13"/>
  <c r="K90" i="13"/>
  <c r="J90" i="13"/>
  <c r="H90" i="13"/>
  <c r="C90" i="13"/>
  <c r="K89" i="13"/>
  <c r="J89" i="13"/>
  <c r="H89" i="13"/>
  <c r="C89" i="13"/>
  <c r="K88" i="13"/>
  <c r="J88" i="13"/>
  <c r="H88" i="13"/>
  <c r="C88" i="13"/>
  <c r="K87" i="13"/>
  <c r="J87" i="13"/>
  <c r="H87" i="13"/>
  <c r="C87" i="13"/>
  <c r="K86" i="13"/>
  <c r="J86" i="13"/>
  <c r="H86" i="13"/>
  <c r="C86" i="13"/>
  <c r="K85" i="13"/>
  <c r="J85" i="13"/>
  <c r="H85" i="13"/>
  <c r="C85" i="13"/>
  <c r="K84" i="13"/>
  <c r="J84" i="13"/>
  <c r="H84" i="13"/>
  <c r="C84" i="13"/>
  <c r="K83" i="13"/>
  <c r="J83" i="13"/>
  <c r="H83" i="13"/>
  <c r="C83" i="13"/>
  <c r="K82" i="13"/>
  <c r="J82" i="13"/>
  <c r="H82" i="13"/>
  <c r="C82" i="13"/>
  <c r="K81" i="13"/>
  <c r="J81" i="13"/>
  <c r="H81" i="13"/>
  <c r="C81" i="13"/>
  <c r="K80" i="13"/>
  <c r="J80" i="13"/>
  <c r="H80" i="13"/>
  <c r="C80" i="13"/>
  <c r="K79" i="13"/>
  <c r="J79" i="13"/>
  <c r="H79" i="13"/>
  <c r="C79" i="13"/>
  <c r="K78" i="13"/>
  <c r="J78" i="13"/>
  <c r="H78" i="13"/>
  <c r="C78" i="13"/>
  <c r="K77" i="13"/>
  <c r="J77" i="13"/>
  <c r="H77" i="13"/>
  <c r="C77" i="13"/>
  <c r="K76" i="13"/>
  <c r="J76" i="13"/>
  <c r="H76" i="13"/>
  <c r="C76" i="13"/>
  <c r="K75" i="13"/>
  <c r="J75" i="13"/>
  <c r="H75" i="13"/>
  <c r="C75" i="13"/>
  <c r="K74" i="13"/>
  <c r="J74" i="13"/>
  <c r="H74" i="13"/>
  <c r="C74" i="13"/>
  <c r="K73" i="13"/>
  <c r="J73" i="13"/>
  <c r="H73" i="13"/>
  <c r="C73" i="13"/>
  <c r="K72" i="13"/>
  <c r="J72" i="13"/>
  <c r="H72" i="13"/>
  <c r="C72" i="13"/>
  <c r="K71" i="13"/>
  <c r="J71" i="13"/>
  <c r="H71" i="13"/>
  <c r="C71" i="13"/>
  <c r="K70" i="13"/>
  <c r="J70" i="13"/>
  <c r="H70" i="13"/>
  <c r="C70" i="13"/>
  <c r="K69" i="13"/>
  <c r="J69" i="13"/>
  <c r="H69" i="13"/>
  <c r="C69" i="13"/>
  <c r="K68" i="13"/>
  <c r="J68" i="13"/>
  <c r="H68" i="13"/>
  <c r="C68" i="13"/>
  <c r="K67" i="13"/>
  <c r="J67" i="13"/>
  <c r="H67" i="13"/>
  <c r="C67" i="13"/>
  <c r="K66" i="13"/>
  <c r="J66" i="13"/>
  <c r="H66" i="13"/>
  <c r="C66" i="13"/>
  <c r="K65" i="13"/>
  <c r="J65" i="13"/>
  <c r="H65" i="13"/>
  <c r="C65" i="13"/>
  <c r="K64" i="13"/>
  <c r="J64" i="13"/>
  <c r="H64" i="13"/>
  <c r="C64" i="13"/>
  <c r="K63" i="13"/>
  <c r="J63" i="13"/>
  <c r="H63" i="13"/>
  <c r="C63" i="13"/>
  <c r="K62" i="13"/>
  <c r="J62" i="13"/>
  <c r="H62" i="13"/>
  <c r="C62" i="13"/>
  <c r="K61" i="13"/>
  <c r="J61" i="13"/>
  <c r="H61" i="13"/>
  <c r="C61" i="13"/>
  <c r="K60" i="13"/>
  <c r="J60" i="13"/>
  <c r="H60" i="13"/>
  <c r="C60" i="13"/>
  <c r="K59" i="13"/>
  <c r="J59" i="13"/>
  <c r="H59" i="13"/>
  <c r="C59" i="13"/>
  <c r="K58" i="13"/>
  <c r="J58" i="13"/>
  <c r="H58" i="13"/>
  <c r="C58" i="13"/>
  <c r="K57" i="13"/>
  <c r="J57" i="13"/>
  <c r="H57" i="13"/>
  <c r="C57" i="13"/>
  <c r="K56" i="13"/>
  <c r="J56" i="13"/>
  <c r="H56" i="13"/>
  <c r="C56" i="13"/>
  <c r="K55" i="13"/>
  <c r="J55" i="13"/>
  <c r="H55" i="13"/>
  <c r="C55" i="13"/>
  <c r="K54" i="13"/>
  <c r="J54" i="13"/>
  <c r="H54" i="13"/>
  <c r="C54" i="13"/>
  <c r="K53" i="13"/>
  <c r="J53" i="13"/>
  <c r="H53" i="13"/>
  <c r="C53" i="13"/>
  <c r="K52" i="13"/>
  <c r="J52" i="13"/>
  <c r="H52" i="13"/>
  <c r="C52" i="13"/>
  <c r="K51" i="13"/>
  <c r="J51" i="13"/>
  <c r="H51" i="13"/>
  <c r="C51" i="13"/>
  <c r="K50" i="13"/>
  <c r="J50" i="13"/>
  <c r="H50" i="13"/>
  <c r="C50" i="13"/>
  <c r="K49" i="13"/>
  <c r="J49" i="13"/>
  <c r="H49" i="13"/>
  <c r="C49" i="13"/>
  <c r="K48" i="13"/>
  <c r="J48" i="13"/>
  <c r="H48" i="13"/>
  <c r="C48" i="13"/>
  <c r="K47" i="13"/>
  <c r="J47" i="13"/>
  <c r="H47" i="13"/>
  <c r="C47" i="13"/>
  <c r="K46" i="13"/>
  <c r="J46" i="13"/>
  <c r="H46" i="13"/>
  <c r="C46" i="13"/>
  <c r="K45" i="13"/>
  <c r="J45" i="13"/>
  <c r="H45" i="13"/>
  <c r="C45" i="13"/>
  <c r="K44" i="13"/>
  <c r="J44" i="13"/>
  <c r="H44" i="13"/>
  <c r="C44" i="13"/>
  <c r="K43" i="13"/>
  <c r="J43" i="13"/>
  <c r="H43" i="13"/>
  <c r="C43" i="13"/>
  <c r="K42" i="13"/>
  <c r="J42" i="13"/>
  <c r="H42" i="13"/>
  <c r="C42" i="13"/>
  <c r="K41" i="13"/>
  <c r="J41" i="13"/>
  <c r="H41" i="13"/>
  <c r="C41" i="13"/>
  <c r="K40" i="13"/>
  <c r="J40" i="13"/>
  <c r="H40" i="13"/>
  <c r="C40" i="13"/>
  <c r="K39" i="13"/>
  <c r="J39" i="13"/>
  <c r="H39" i="13"/>
  <c r="C39" i="13"/>
  <c r="K38" i="13"/>
  <c r="J38" i="13"/>
  <c r="H38" i="13"/>
  <c r="C38" i="13"/>
  <c r="K37" i="13"/>
  <c r="J37" i="13"/>
  <c r="H37" i="13"/>
  <c r="C37" i="13"/>
  <c r="K36" i="13"/>
  <c r="J36" i="13"/>
  <c r="H36" i="13"/>
  <c r="C36" i="13"/>
  <c r="K35" i="13"/>
  <c r="J35" i="13"/>
  <c r="H35" i="13"/>
  <c r="C35" i="13"/>
  <c r="K34" i="13"/>
  <c r="J34" i="13"/>
  <c r="H34" i="13"/>
  <c r="C34" i="13"/>
  <c r="K33" i="13"/>
  <c r="J33" i="13"/>
  <c r="H33" i="13"/>
  <c r="C33" i="13"/>
  <c r="K32" i="13"/>
  <c r="J32" i="13"/>
  <c r="H32" i="13"/>
  <c r="C32" i="13"/>
  <c r="K31" i="13"/>
  <c r="J31" i="13"/>
  <c r="H31" i="13"/>
  <c r="C31" i="13"/>
  <c r="K30" i="13"/>
  <c r="J30" i="13"/>
  <c r="H30" i="13"/>
  <c r="C30" i="13"/>
  <c r="K29" i="13"/>
  <c r="J29" i="13"/>
  <c r="H29" i="13"/>
  <c r="C29" i="13"/>
  <c r="K28" i="13"/>
  <c r="J28" i="13"/>
  <c r="H28" i="13"/>
  <c r="C28" i="13"/>
  <c r="K27" i="13"/>
  <c r="J27" i="13"/>
  <c r="H27" i="13"/>
  <c r="C27" i="13"/>
  <c r="K26" i="13"/>
  <c r="J26" i="13"/>
  <c r="H26" i="13"/>
  <c r="C26" i="13"/>
  <c r="K25" i="13"/>
  <c r="J25" i="13"/>
  <c r="H25" i="13"/>
  <c r="C25" i="13"/>
  <c r="K24" i="13"/>
  <c r="J24" i="13"/>
  <c r="H24" i="13"/>
  <c r="C24" i="13"/>
  <c r="K23" i="13"/>
  <c r="J23" i="13"/>
  <c r="H23" i="13"/>
  <c r="C23" i="13"/>
  <c r="K22" i="13"/>
  <c r="J22" i="13"/>
  <c r="H22" i="13"/>
  <c r="C22" i="13"/>
  <c r="K21" i="13"/>
  <c r="J21" i="13"/>
  <c r="H21" i="13"/>
  <c r="C21" i="13"/>
  <c r="K20" i="13"/>
  <c r="J20" i="13"/>
  <c r="H20" i="13"/>
  <c r="C20" i="13"/>
  <c r="K19" i="13"/>
  <c r="J19" i="13"/>
  <c r="H19" i="13"/>
  <c r="C19" i="13"/>
  <c r="K18" i="13"/>
  <c r="J18" i="13"/>
  <c r="H18" i="13"/>
  <c r="C18" i="13"/>
  <c r="K17" i="13"/>
  <c r="J17" i="13"/>
  <c r="H17" i="13"/>
  <c r="C17" i="13"/>
  <c r="K16" i="13"/>
  <c r="J16" i="13"/>
  <c r="H16" i="13"/>
  <c r="C16" i="13"/>
  <c r="K15" i="13"/>
  <c r="J15" i="13"/>
  <c r="H15" i="13"/>
  <c r="C15" i="13"/>
  <c r="K14" i="13"/>
  <c r="J14" i="13"/>
  <c r="H14" i="13"/>
  <c r="C14" i="13"/>
  <c r="K13" i="13"/>
  <c r="J13" i="13"/>
  <c r="H13" i="13"/>
  <c r="C13" i="13"/>
  <c r="K12" i="13"/>
  <c r="J12" i="13"/>
  <c r="H12" i="13"/>
  <c r="C12" i="13"/>
  <c r="K11" i="13"/>
  <c r="J11" i="13"/>
  <c r="H11" i="13"/>
  <c r="C11" i="13"/>
  <c r="K10" i="13"/>
  <c r="J10" i="13"/>
  <c r="H10" i="13"/>
  <c r="C10" i="13"/>
  <c r="K9" i="13"/>
  <c r="J9" i="13"/>
  <c r="H9" i="13"/>
  <c r="C9" i="13"/>
  <c r="K8" i="13"/>
  <c r="J8" i="13"/>
  <c r="H8" i="13"/>
  <c r="C8" i="13"/>
  <c r="K7" i="13"/>
  <c r="J7" i="13"/>
  <c r="H7" i="13"/>
  <c r="C7" i="13"/>
  <c r="K6" i="13"/>
  <c r="J6" i="13"/>
  <c r="H6" i="13"/>
  <c r="C6" i="13"/>
  <c r="K5" i="13"/>
  <c r="J5" i="13"/>
  <c r="H5" i="13"/>
  <c r="C5" i="13"/>
  <c r="K4" i="13"/>
  <c r="K104" i="13" s="1"/>
  <c r="J4" i="13"/>
  <c r="J104" i="13" s="1"/>
  <c r="H4" i="13"/>
  <c r="C4" i="13"/>
  <c r="I104" i="12"/>
  <c r="F12" i="19" s="1"/>
  <c r="H12" i="19" s="1"/>
  <c r="K103" i="12"/>
  <c r="J103" i="12"/>
  <c r="H103" i="12"/>
  <c r="C103" i="12"/>
  <c r="K102" i="12"/>
  <c r="J102" i="12"/>
  <c r="H102" i="12"/>
  <c r="C102" i="12"/>
  <c r="K101" i="12"/>
  <c r="J101" i="12"/>
  <c r="H101" i="12"/>
  <c r="C101" i="12"/>
  <c r="K100" i="12"/>
  <c r="J100" i="12"/>
  <c r="H100" i="12"/>
  <c r="C100" i="12"/>
  <c r="K99" i="12"/>
  <c r="J99" i="12"/>
  <c r="H99" i="12"/>
  <c r="C99" i="12"/>
  <c r="K98" i="12"/>
  <c r="J98" i="12"/>
  <c r="H98" i="12"/>
  <c r="C98" i="12"/>
  <c r="K97" i="12"/>
  <c r="J97" i="12"/>
  <c r="H97" i="12"/>
  <c r="C97" i="12"/>
  <c r="K96" i="12"/>
  <c r="J96" i="12"/>
  <c r="H96" i="12"/>
  <c r="C96" i="12"/>
  <c r="K95" i="12"/>
  <c r="J95" i="12"/>
  <c r="H95" i="12"/>
  <c r="C95" i="12"/>
  <c r="K94" i="12"/>
  <c r="J94" i="12"/>
  <c r="H94" i="12"/>
  <c r="C94" i="12"/>
  <c r="K93" i="12"/>
  <c r="J93" i="12"/>
  <c r="H93" i="12"/>
  <c r="C93" i="12"/>
  <c r="K92" i="12"/>
  <c r="J92" i="12"/>
  <c r="H92" i="12"/>
  <c r="C92" i="12"/>
  <c r="K91" i="12"/>
  <c r="J91" i="12"/>
  <c r="H91" i="12"/>
  <c r="C91" i="12"/>
  <c r="K90" i="12"/>
  <c r="J90" i="12"/>
  <c r="H90" i="12"/>
  <c r="C90" i="12"/>
  <c r="K89" i="12"/>
  <c r="J89" i="12"/>
  <c r="H89" i="12"/>
  <c r="C89" i="12"/>
  <c r="K88" i="12"/>
  <c r="J88" i="12"/>
  <c r="H88" i="12"/>
  <c r="C88" i="12"/>
  <c r="K87" i="12"/>
  <c r="J87" i="12"/>
  <c r="H87" i="12"/>
  <c r="C87" i="12"/>
  <c r="K86" i="12"/>
  <c r="J86" i="12"/>
  <c r="H86" i="12"/>
  <c r="C86" i="12"/>
  <c r="K85" i="12"/>
  <c r="J85" i="12"/>
  <c r="H85" i="12"/>
  <c r="C85" i="12"/>
  <c r="K84" i="12"/>
  <c r="J84" i="12"/>
  <c r="H84" i="12"/>
  <c r="C84" i="12"/>
  <c r="K83" i="12"/>
  <c r="J83" i="12"/>
  <c r="H83" i="12"/>
  <c r="C83" i="12"/>
  <c r="K82" i="12"/>
  <c r="J82" i="12"/>
  <c r="H82" i="12"/>
  <c r="C82" i="12"/>
  <c r="K81" i="12"/>
  <c r="J81" i="12"/>
  <c r="H81" i="12"/>
  <c r="C81" i="12"/>
  <c r="K80" i="12"/>
  <c r="J80" i="12"/>
  <c r="H80" i="12"/>
  <c r="C80" i="12"/>
  <c r="K79" i="12"/>
  <c r="J79" i="12"/>
  <c r="H79" i="12"/>
  <c r="C79" i="12"/>
  <c r="K78" i="12"/>
  <c r="J78" i="12"/>
  <c r="H78" i="12"/>
  <c r="C78" i="12"/>
  <c r="K77" i="12"/>
  <c r="J77" i="12"/>
  <c r="H77" i="12"/>
  <c r="C77" i="12"/>
  <c r="K76" i="12"/>
  <c r="J76" i="12"/>
  <c r="H76" i="12"/>
  <c r="C76" i="12"/>
  <c r="K75" i="12"/>
  <c r="J75" i="12"/>
  <c r="H75" i="12"/>
  <c r="C75" i="12"/>
  <c r="K74" i="12"/>
  <c r="J74" i="12"/>
  <c r="H74" i="12"/>
  <c r="C74" i="12"/>
  <c r="K73" i="12"/>
  <c r="J73" i="12"/>
  <c r="H73" i="12"/>
  <c r="C73" i="12"/>
  <c r="K72" i="12"/>
  <c r="J72" i="12"/>
  <c r="H72" i="12"/>
  <c r="C72" i="12"/>
  <c r="K71" i="12"/>
  <c r="J71" i="12"/>
  <c r="H71" i="12"/>
  <c r="C71" i="12"/>
  <c r="K70" i="12"/>
  <c r="J70" i="12"/>
  <c r="H70" i="12"/>
  <c r="C70" i="12"/>
  <c r="K69" i="12"/>
  <c r="J69" i="12"/>
  <c r="H69" i="12"/>
  <c r="C69" i="12"/>
  <c r="K68" i="12"/>
  <c r="J68" i="12"/>
  <c r="H68" i="12"/>
  <c r="C68" i="12"/>
  <c r="K67" i="12"/>
  <c r="J67" i="12"/>
  <c r="H67" i="12"/>
  <c r="C67" i="12"/>
  <c r="K66" i="12"/>
  <c r="J66" i="12"/>
  <c r="H66" i="12"/>
  <c r="C66" i="12"/>
  <c r="K65" i="12"/>
  <c r="J65" i="12"/>
  <c r="H65" i="12"/>
  <c r="C65" i="12"/>
  <c r="K64" i="12"/>
  <c r="J64" i="12"/>
  <c r="H64" i="12"/>
  <c r="C64" i="12"/>
  <c r="K63" i="12"/>
  <c r="J63" i="12"/>
  <c r="H63" i="12"/>
  <c r="C63" i="12"/>
  <c r="K62" i="12"/>
  <c r="J62" i="12"/>
  <c r="H62" i="12"/>
  <c r="C62" i="12"/>
  <c r="K61" i="12"/>
  <c r="J61" i="12"/>
  <c r="H61" i="12"/>
  <c r="C61" i="12"/>
  <c r="K60" i="12"/>
  <c r="J60" i="12"/>
  <c r="H60" i="12"/>
  <c r="C60" i="12"/>
  <c r="K59" i="12"/>
  <c r="J59" i="12"/>
  <c r="H59" i="12"/>
  <c r="C59" i="12"/>
  <c r="K58" i="12"/>
  <c r="J58" i="12"/>
  <c r="H58" i="12"/>
  <c r="C58" i="12"/>
  <c r="K57" i="12"/>
  <c r="J57" i="12"/>
  <c r="H57" i="12"/>
  <c r="C57" i="12"/>
  <c r="K56" i="12"/>
  <c r="J56" i="12"/>
  <c r="H56" i="12"/>
  <c r="C56" i="12"/>
  <c r="K55" i="12"/>
  <c r="J55" i="12"/>
  <c r="H55" i="12"/>
  <c r="C55" i="12"/>
  <c r="K54" i="12"/>
  <c r="J54" i="12"/>
  <c r="H54" i="12"/>
  <c r="C54" i="12"/>
  <c r="K53" i="12"/>
  <c r="J53" i="12"/>
  <c r="H53" i="12"/>
  <c r="C53" i="12"/>
  <c r="K52" i="12"/>
  <c r="J52" i="12"/>
  <c r="H52" i="12"/>
  <c r="C52" i="12"/>
  <c r="K51" i="12"/>
  <c r="J51" i="12"/>
  <c r="H51" i="12"/>
  <c r="C51" i="12"/>
  <c r="K50" i="12"/>
  <c r="J50" i="12"/>
  <c r="H50" i="12"/>
  <c r="C50" i="12"/>
  <c r="K49" i="12"/>
  <c r="J49" i="12"/>
  <c r="H49" i="12"/>
  <c r="C49" i="12"/>
  <c r="K48" i="12"/>
  <c r="J48" i="12"/>
  <c r="H48" i="12"/>
  <c r="C48" i="12"/>
  <c r="K47" i="12"/>
  <c r="J47" i="12"/>
  <c r="H47" i="12"/>
  <c r="C47" i="12"/>
  <c r="K46" i="12"/>
  <c r="J46" i="12"/>
  <c r="H46" i="12"/>
  <c r="C46" i="12"/>
  <c r="K45" i="12"/>
  <c r="J45" i="12"/>
  <c r="H45" i="12"/>
  <c r="C45" i="12"/>
  <c r="K44" i="12"/>
  <c r="J44" i="12"/>
  <c r="H44" i="12"/>
  <c r="C44" i="12"/>
  <c r="K43" i="12"/>
  <c r="J43" i="12"/>
  <c r="H43" i="12"/>
  <c r="C43" i="12"/>
  <c r="K42" i="12"/>
  <c r="J42" i="12"/>
  <c r="H42" i="12"/>
  <c r="C42" i="12"/>
  <c r="K41" i="12"/>
  <c r="J41" i="12"/>
  <c r="H41" i="12"/>
  <c r="C41" i="12"/>
  <c r="K40" i="12"/>
  <c r="J40" i="12"/>
  <c r="H40" i="12"/>
  <c r="C40" i="12"/>
  <c r="K39" i="12"/>
  <c r="J39" i="12"/>
  <c r="H39" i="12"/>
  <c r="C39" i="12"/>
  <c r="K38" i="12"/>
  <c r="J38" i="12"/>
  <c r="H38" i="12"/>
  <c r="C38" i="12"/>
  <c r="K37" i="12"/>
  <c r="J37" i="12"/>
  <c r="H37" i="12"/>
  <c r="C37" i="12"/>
  <c r="K36" i="12"/>
  <c r="J36" i="12"/>
  <c r="H36" i="12"/>
  <c r="C36" i="12"/>
  <c r="K35" i="12"/>
  <c r="J35" i="12"/>
  <c r="H35" i="12"/>
  <c r="C35" i="12"/>
  <c r="K34" i="12"/>
  <c r="J34" i="12"/>
  <c r="H34" i="12"/>
  <c r="C34" i="12"/>
  <c r="K33" i="12"/>
  <c r="J33" i="12"/>
  <c r="H33" i="12"/>
  <c r="C33" i="12"/>
  <c r="K32" i="12"/>
  <c r="J32" i="12"/>
  <c r="H32" i="12"/>
  <c r="C32" i="12"/>
  <c r="K31" i="12"/>
  <c r="J31" i="12"/>
  <c r="H31" i="12"/>
  <c r="C31" i="12"/>
  <c r="K30" i="12"/>
  <c r="J30" i="12"/>
  <c r="H30" i="12"/>
  <c r="C30" i="12"/>
  <c r="K29" i="12"/>
  <c r="J29" i="12"/>
  <c r="H29" i="12"/>
  <c r="C29" i="12"/>
  <c r="K28" i="12"/>
  <c r="J28" i="12"/>
  <c r="H28" i="12"/>
  <c r="C28" i="12"/>
  <c r="K27" i="12"/>
  <c r="J27" i="12"/>
  <c r="H27" i="12"/>
  <c r="C27" i="12"/>
  <c r="K26" i="12"/>
  <c r="J26" i="12"/>
  <c r="H26" i="12"/>
  <c r="C26" i="12"/>
  <c r="K25" i="12"/>
  <c r="J25" i="12"/>
  <c r="H25" i="12"/>
  <c r="C25" i="12"/>
  <c r="K24" i="12"/>
  <c r="J24" i="12"/>
  <c r="H24" i="12"/>
  <c r="C24" i="12"/>
  <c r="K23" i="12"/>
  <c r="J23" i="12"/>
  <c r="H23" i="12"/>
  <c r="C23" i="12"/>
  <c r="K22" i="12"/>
  <c r="J22" i="12"/>
  <c r="H22" i="12"/>
  <c r="C22" i="12"/>
  <c r="K21" i="12"/>
  <c r="J21" i="12"/>
  <c r="H21" i="12"/>
  <c r="C21" i="12"/>
  <c r="K20" i="12"/>
  <c r="J20" i="12"/>
  <c r="H20" i="12"/>
  <c r="C20" i="12"/>
  <c r="K19" i="12"/>
  <c r="J19" i="12"/>
  <c r="H19" i="12"/>
  <c r="C19" i="12"/>
  <c r="K18" i="12"/>
  <c r="J18" i="12"/>
  <c r="H18" i="12"/>
  <c r="C18" i="12"/>
  <c r="K17" i="12"/>
  <c r="J17" i="12"/>
  <c r="H17" i="12"/>
  <c r="C17" i="12"/>
  <c r="K16" i="12"/>
  <c r="J16" i="12"/>
  <c r="H16" i="12"/>
  <c r="C16" i="12"/>
  <c r="K15" i="12"/>
  <c r="J15" i="12"/>
  <c r="H15" i="12"/>
  <c r="C15" i="12"/>
  <c r="K14" i="12"/>
  <c r="J14" i="12"/>
  <c r="H14" i="12"/>
  <c r="C14" i="12"/>
  <c r="K13" i="12"/>
  <c r="J13" i="12"/>
  <c r="H13" i="12"/>
  <c r="C13" i="12"/>
  <c r="K12" i="12"/>
  <c r="J12" i="12"/>
  <c r="H12" i="12"/>
  <c r="C12" i="12"/>
  <c r="K11" i="12"/>
  <c r="J11" i="12"/>
  <c r="H11" i="12"/>
  <c r="C11" i="12"/>
  <c r="K10" i="12"/>
  <c r="J10" i="12"/>
  <c r="H10" i="12"/>
  <c r="C10" i="12"/>
  <c r="K9" i="12"/>
  <c r="J9" i="12"/>
  <c r="H9" i="12"/>
  <c r="C9" i="12"/>
  <c r="K8" i="12"/>
  <c r="J8" i="12"/>
  <c r="H8" i="12"/>
  <c r="C8" i="12"/>
  <c r="K7" i="12"/>
  <c r="J7" i="12"/>
  <c r="H7" i="12"/>
  <c r="H104" i="12" s="1"/>
  <c r="C7" i="12"/>
  <c r="K6" i="12"/>
  <c r="J6" i="12"/>
  <c r="H6" i="12"/>
  <c r="C6" i="12"/>
  <c r="K5" i="12"/>
  <c r="J5" i="12"/>
  <c r="H5" i="12"/>
  <c r="C5" i="12"/>
  <c r="K4" i="12"/>
  <c r="K104" i="12" s="1"/>
  <c r="J4" i="12"/>
  <c r="J104" i="12" s="1"/>
  <c r="H4" i="12"/>
  <c r="C4" i="12"/>
  <c r="I104" i="11"/>
  <c r="H108" i="11" s="1"/>
  <c r="K103" i="11"/>
  <c r="J103" i="11"/>
  <c r="H103" i="11"/>
  <c r="C103" i="11"/>
  <c r="K102" i="11"/>
  <c r="J102" i="11"/>
  <c r="H102" i="11"/>
  <c r="C102" i="11"/>
  <c r="K101" i="11"/>
  <c r="J101" i="11"/>
  <c r="H101" i="11"/>
  <c r="C101" i="11"/>
  <c r="K100" i="11"/>
  <c r="J100" i="11"/>
  <c r="H100" i="11"/>
  <c r="C100" i="11"/>
  <c r="K99" i="11"/>
  <c r="J99" i="11"/>
  <c r="H99" i="11"/>
  <c r="C99" i="11"/>
  <c r="K98" i="11"/>
  <c r="J98" i="11"/>
  <c r="H98" i="11"/>
  <c r="C98" i="11"/>
  <c r="K97" i="11"/>
  <c r="J97" i="11"/>
  <c r="H97" i="11"/>
  <c r="C97" i="11"/>
  <c r="K96" i="11"/>
  <c r="J96" i="11"/>
  <c r="H96" i="11"/>
  <c r="C96" i="11"/>
  <c r="K95" i="11"/>
  <c r="J95" i="11"/>
  <c r="H95" i="11"/>
  <c r="C95" i="11"/>
  <c r="K94" i="11"/>
  <c r="J94" i="11"/>
  <c r="H94" i="11"/>
  <c r="C94" i="11"/>
  <c r="K93" i="11"/>
  <c r="J93" i="11"/>
  <c r="H93" i="11"/>
  <c r="C93" i="11"/>
  <c r="K92" i="11"/>
  <c r="J92" i="11"/>
  <c r="H92" i="11"/>
  <c r="C92" i="11"/>
  <c r="K91" i="11"/>
  <c r="J91" i="11"/>
  <c r="H91" i="11"/>
  <c r="C91" i="11"/>
  <c r="K90" i="11"/>
  <c r="J90" i="11"/>
  <c r="H90" i="11"/>
  <c r="C90" i="11"/>
  <c r="K89" i="11"/>
  <c r="J89" i="11"/>
  <c r="H89" i="11"/>
  <c r="C89" i="11"/>
  <c r="K88" i="11"/>
  <c r="J88" i="11"/>
  <c r="H88" i="11"/>
  <c r="C88" i="11"/>
  <c r="K87" i="11"/>
  <c r="J87" i="11"/>
  <c r="H87" i="11"/>
  <c r="C87" i="11"/>
  <c r="K86" i="11"/>
  <c r="J86" i="11"/>
  <c r="H86" i="11"/>
  <c r="C86" i="11"/>
  <c r="K85" i="11"/>
  <c r="J85" i="11"/>
  <c r="H85" i="11"/>
  <c r="C85" i="11"/>
  <c r="K84" i="11"/>
  <c r="J84" i="11"/>
  <c r="H84" i="11"/>
  <c r="C84" i="11"/>
  <c r="K83" i="11"/>
  <c r="J83" i="11"/>
  <c r="H83" i="11"/>
  <c r="C83" i="11"/>
  <c r="K82" i="11"/>
  <c r="J82" i="11"/>
  <c r="H82" i="11"/>
  <c r="C82" i="11"/>
  <c r="K81" i="11"/>
  <c r="J81" i="11"/>
  <c r="H81" i="11"/>
  <c r="C81" i="11"/>
  <c r="K80" i="11"/>
  <c r="J80" i="11"/>
  <c r="H80" i="11"/>
  <c r="C80" i="11"/>
  <c r="K79" i="11"/>
  <c r="J79" i="11"/>
  <c r="H79" i="11"/>
  <c r="C79" i="11"/>
  <c r="K78" i="11"/>
  <c r="J78" i="11"/>
  <c r="H78" i="11"/>
  <c r="C78" i="11"/>
  <c r="K77" i="11"/>
  <c r="J77" i="11"/>
  <c r="H77" i="11"/>
  <c r="C77" i="11"/>
  <c r="K76" i="11"/>
  <c r="J76" i="11"/>
  <c r="H76" i="11"/>
  <c r="C76" i="11"/>
  <c r="K75" i="11"/>
  <c r="J75" i="11"/>
  <c r="H75" i="11"/>
  <c r="C75" i="11"/>
  <c r="K74" i="11"/>
  <c r="J74" i="11"/>
  <c r="H74" i="11"/>
  <c r="C74" i="11"/>
  <c r="K73" i="11"/>
  <c r="J73" i="11"/>
  <c r="H73" i="11"/>
  <c r="C73" i="11"/>
  <c r="K72" i="11"/>
  <c r="J72" i="11"/>
  <c r="H72" i="11"/>
  <c r="C72" i="11"/>
  <c r="K71" i="11"/>
  <c r="J71" i="11"/>
  <c r="H71" i="11"/>
  <c r="C71" i="11"/>
  <c r="K70" i="11"/>
  <c r="J70" i="11"/>
  <c r="H70" i="11"/>
  <c r="C70" i="11"/>
  <c r="K69" i="11"/>
  <c r="J69" i="11"/>
  <c r="H69" i="11"/>
  <c r="C69" i="11"/>
  <c r="K68" i="11"/>
  <c r="J68" i="11"/>
  <c r="H68" i="11"/>
  <c r="C68" i="11"/>
  <c r="K67" i="11"/>
  <c r="J67" i="11"/>
  <c r="H67" i="11"/>
  <c r="C67" i="11"/>
  <c r="K66" i="11"/>
  <c r="J66" i="11"/>
  <c r="H66" i="11"/>
  <c r="C66" i="11"/>
  <c r="K65" i="11"/>
  <c r="J65" i="11"/>
  <c r="H65" i="11"/>
  <c r="C65" i="11"/>
  <c r="K64" i="11"/>
  <c r="J64" i="11"/>
  <c r="H64" i="11"/>
  <c r="C64" i="11"/>
  <c r="K63" i="11"/>
  <c r="J63" i="11"/>
  <c r="H63" i="11"/>
  <c r="C63" i="11"/>
  <c r="K62" i="11"/>
  <c r="J62" i="11"/>
  <c r="H62" i="11"/>
  <c r="C62" i="11"/>
  <c r="K61" i="11"/>
  <c r="J61" i="11"/>
  <c r="H61" i="11"/>
  <c r="C61" i="11"/>
  <c r="K60" i="11"/>
  <c r="J60" i="11"/>
  <c r="H60" i="11"/>
  <c r="C60" i="11"/>
  <c r="K59" i="11"/>
  <c r="J59" i="11"/>
  <c r="H59" i="11"/>
  <c r="C59" i="11"/>
  <c r="K58" i="11"/>
  <c r="J58" i="11"/>
  <c r="H58" i="11"/>
  <c r="C58" i="11"/>
  <c r="K57" i="11"/>
  <c r="J57" i="11"/>
  <c r="H57" i="11"/>
  <c r="C57" i="11"/>
  <c r="K56" i="11"/>
  <c r="J56" i="11"/>
  <c r="H56" i="11"/>
  <c r="C56" i="11"/>
  <c r="K55" i="11"/>
  <c r="J55" i="11"/>
  <c r="H55" i="11"/>
  <c r="C55" i="11"/>
  <c r="K54" i="11"/>
  <c r="J54" i="11"/>
  <c r="H54" i="11"/>
  <c r="C54" i="11"/>
  <c r="K53" i="11"/>
  <c r="J53" i="11"/>
  <c r="H53" i="11"/>
  <c r="C53" i="11"/>
  <c r="K52" i="11"/>
  <c r="J52" i="11"/>
  <c r="H52" i="11"/>
  <c r="C52" i="11"/>
  <c r="K51" i="11"/>
  <c r="J51" i="11"/>
  <c r="H51" i="11"/>
  <c r="C51" i="11"/>
  <c r="K50" i="11"/>
  <c r="J50" i="11"/>
  <c r="H50" i="11"/>
  <c r="C50" i="11"/>
  <c r="K49" i="11"/>
  <c r="J49" i="11"/>
  <c r="H49" i="11"/>
  <c r="C49" i="11"/>
  <c r="K48" i="11"/>
  <c r="J48" i="11"/>
  <c r="H48" i="11"/>
  <c r="C48" i="11"/>
  <c r="K47" i="11"/>
  <c r="J47" i="11"/>
  <c r="H47" i="11"/>
  <c r="C47" i="11"/>
  <c r="K46" i="11"/>
  <c r="J46" i="11"/>
  <c r="H46" i="11"/>
  <c r="C46" i="11"/>
  <c r="K45" i="11"/>
  <c r="J45" i="11"/>
  <c r="H45" i="11"/>
  <c r="C45" i="11"/>
  <c r="K44" i="11"/>
  <c r="J44" i="11"/>
  <c r="H44" i="11"/>
  <c r="C44" i="11"/>
  <c r="K43" i="11"/>
  <c r="J43" i="11"/>
  <c r="H43" i="11"/>
  <c r="C43" i="11"/>
  <c r="K42" i="11"/>
  <c r="J42" i="11"/>
  <c r="H42" i="11"/>
  <c r="C42" i="11"/>
  <c r="K41" i="11"/>
  <c r="J41" i="11"/>
  <c r="H41" i="11"/>
  <c r="C41" i="11"/>
  <c r="K40" i="11"/>
  <c r="J40" i="11"/>
  <c r="H40" i="11"/>
  <c r="C40" i="11"/>
  <c r="K39" i="11"/>
  <c r="J39" i="11"/>
  <c r="H39" i="11"/>
  <c r="C39" i="11"/>
  <c r="K38" i="11"/>
  <c r="J38" i="11"/>
  <c r="H38" i="11"/>
  <c r="C38" i="11"/>
  <c r="K37" i="11"/>
  <c r="J37" i="11"/>
  <c r="H37" i="11"/>
  <c r="C37" i="11"/>
  <c r="K36" i="11"/>
  <c r="J36" i="11"/>
  <c r="H36" i="11"/>
  <c r="C36" i="11"/>
  <c r="K35" i="11"/>
  <c r="J35" i="11"/>
  <c r="H35" i="11"/>
  <c r="C35" i="11"/>
  <c r="K34" i="11"/>
  <c r="J34" i="11"/>
  <c r="H34" i="11"/>
  <c r="C34" i="11"/>
  <c r="K33" i="11"/>
  <c r="J33" i="11"/>
  <c r="H33" i="11"/>
  <c r="C33" i="11"/>
  <c r="K32" i="11"/>
  <c r="J32" i="11"/>
  <c r="H32" i="11"/>
  <c r="C32" i="11"/>
  <c r="K31" i="11"/>
  <c r="J31" i="11"/>
  <c r="H31" i="11"/>
  <c r="C31" i="11"/>
  <c r="K30" i="11"/>
  <c r="J30" i="11"/>
  <c r="H30" i="11"/>
  <c r="C30" i="11"/>
  <c r="K29" i="11"/>
  <c r="J29" i="11"/>
  <c r="H29" i="11"/>
  <c r="C29" i="11"/>
  <c r="K28" i="11"/>
  <c r="J28" i="11"/>
  <c r="H28" i="11"/>
  <c r="C28" i="11"/>
  <c r="K27" i="11"/>
  <c r="J27" i="11"/>
  <c r="H27" i="11"/>
  <c r="C27" i="11"/>
  <c r="K26" i="11"/>
  <c r="J26" i="11"/>
  <c r="H26" i="11"/>
  <c r="C26" i="11"/>
  <c r="K25" i="11"/>
  <c r="J25" i="11"/>
  <c r="H25" i="11"/>
  <c r="C25" i="11"/>
  <c r="K24" i="11"/>
  <c r="J24" i="11"/>
  <c r="H24" i="11"/>
  <c r="C24" i="11"/>
  <c r="K23" i="11"/>
  <c r="J23" i="11"/>
  <c r="H23" i="11"/>
  <c r="C23" i="11"/>
  <c r="K22" i="11"/>
  <c r="J22" i="11"/>
  <c r="H22" i="11"/>
  <c r="C22" i="11"/>
  <c r="K21" i="11"/>
  <c r="J21" i="11"/>
  <c r="H21" i="11"/>
  <c r="C21" i="11"/>
  <c r="K20" i="11"/>
  <c r="J20" i="11"/>
  <c r="H20" i="11"/>
  <c r="C20" i="11"/>
  <c r="K19" i="11"/>
  <c r="J19" i="11"/>
  <c r="H19" i="11"/>
  <c r="C19" i="11"/>
  <c r="K18" i="11"/>
  <c r="J18" i="11"/>
  <c r="H18" i="11"/>
  <c r="C18" i="11"/>
  <c r="K17" i="11"/>
  <c r="J17" i="11"/>
  <c r="H17" i="11"/>
  <c r="C17" i="11"/>
  <c r="K16" i="11"/>
  <c r="J16" i="11"/>
  <c r="H16" i="11"/>
  <c r="C16" i="11"/>
  <c r="K15" i="11"/>
  <c r="J15" i="11"/>
  <c r="H15" i="11"/>
  <c r="C15" i="11"/>
  <c r="K14" i="11"/>
  <c r="J14" i="11"/>
  <c r="H14" i="11"/>
  <c r="C14" i="11"/>
  <c r="K13" i="11"/>
  <c r="J13" i="11"/>
  <c r="H13" i="11"/>
  <c r="C13" i="11"/>
  <c r="K12" i="11"/>
  <c r="J12" i="11"/>
  <c r="H12" i="11"/>
  <c r="C12" i="11"/>
  <c r="K11" i="11"/>
  <c r="J11" i="11"/>
  <c r="H11" i="11"/>
  <c r="C11" i="11"/>
  <c r="K10" i="11"/>
  <c r="J10" i="11"/>
  <c r="H10" i="11"/>
  <c r="C10" i="11"/>
  <c r="K9" i="11"/>
  <c r="J9" i="11"/>
  <c r="H9" i="11"/>
  <c r="C9" i="11"/>
  <c r="K8" i="11"/>
  <c r="J8" i="11"/>
  <c r="H8" i="11"/>
  <c r="C8" i="11"/>
  <c r="K7" i="11"/>
  <c r="J7" i="11"/>
  <c r="H7" i="11"/>
  <c r="C7" i="11"/>
  <c r="K6" i="11"/>
  <c r="J6" i="11"/>
  <c r="H6" i="11"/>
  <c r="H104" i="11" s="1"/>
  <c r="C6" i="11"/>
  <c r="K5" i="11"/>
  <c r="J5" i="11"/>
  <c r="H5" i="11"/>
  <c r="C5" i="11"/>
  <c r="K4" i="11"/>
  <c r="K104" i="11" s="1"/>
  <c r="J4" i="11"/>
  <c r="J104" i="11" s="1"/>
  <c r="H4" i="11"/>
  <c r="C4" i="11"/>
  <c r="H108" i="10"/>
  <c r="K104" i="10"/>
  <c r="I104" i="10"/>
  <c r="F10" i="19" s="1"/>
  <c r="H10" i="19" s="1"/>
  <c r="H104" i="10"/>
  <c r="H107" i="10" s="1"/>
  <c r="K103" i="10"/>
  <c r="J103" i="10"/>
  <c r="H103" i="10"/>
  <c r="C103" i="10"/>
  <c r="K102" i="10"/>
  <c r="J102" i="10"/>
  <c r="H102" i="10"/>
  <c r="C102" i="10"/>
  <c r="K101" i="10"/>
  <c r="J101" i="10"/>
  <c r="H101" i="10"/>
  <c r="C101" i="10"/>
  <c r="K100" i="10"/>
  <c r="J100" i="10"/>
  <c r="H100" i="10"/>
  <c r="C100" i="10"/>
  <c r="K99" i="10"/>
  <c r="J99" i="10"/>
  <c r="H99" i="10"/>
  <c r="C99" i="10"/>
  <c r="K98" i="10"/>
  <c r="J98" i="10"/>
  <c r="H98" i="10"/>
  <c r="C98" i="10"/>
  <c r="K97" i="10"/>
  <c r="J97" i="10"/>
  <c r="H97" i="10"/>
  <c r="C97" i="10"/>
  <c r="K96" i="10"/>
  <c r="J96" i="10"/>
  <c r="H96" i="10"/>
  <c r="C96" i="10"/>
  <c r="K95" i="10"/>
  <c r="J95" i="10"/>
  <c r="H95" i="10"/>
  <c r="C95" i="10"/>
  <c r="K94" i="10"/>
  <c r="J94" i="10"/>
  <c r="H94" i="10"/>
  <c r="C94" i="10"/>
  <c r="K93" i="10"/>
  <c r="J93" i="10"/>
  <c r="H93" i="10"/>
  <c r="C93" i="10"/>
  <c r="K92" i="10"/>
  <c r="J92" i="10"/>
  <c r="H92" i="10"/>
  <c r="C92" i="10"/>
  <c r="K91" i="10"/>
  <c r="J91" i="10"/>
  <c r="H91" i="10"/>
  <c r="C91" i="10"/>
  <c r="K90" i="10"/>
  <c r="J90" i="10"/>
  <c r="H90" i="10"/>
  <c r="C90" i="10"/>
  <c r="K89" i="10"/>
  <c r="J89" i="10"/>
  <c r="H89" i="10"/>
  <c r="C89" i="10"/>
  <c r="K88" i="10"/>
  <c r="J88" i="10"/>
  <c r="H88" i="10"/>
  <c r="C88" i="10"/>
  <c r="K87" i="10"/>
  <c r="J87" i="10"/>
  <c r="H87" i="10"/>
  <c r="C87" i="10"/>
  <c r="K86" i="10"/>
  <c r="J86" i="10"/>
  <c r="H86" i="10"/>
  <c r="C86" i="10"/>
  <c r="K85" i="10"/>
  <c r="J85" i="10"/>
  <c r="H85" i="10"/>
  <c r="C85" i="10"/>
  <c r="K84" i="10"/>
  <c r="J84" i="10"/>
  <c r="H84" i="10"/>
  <c r="C84" i="10"/>
  <c r="K83" i="10"/>
  <c r="J83" i="10"/>
  <c r="H83" i="10"/>
  <c r="C83" i="10"/>
  <c r="K82" i="10"/>
  <c r="J82" i="10"/>
  <c r="H82" i="10"/>
  <c r="C82" i="10"/>
  <c r="K81" i="10"/>
  <c r="J81" i="10"/>
  <c r="H81" i="10"/>
  <c r="C81" i="10"/>
  <c r="K80" i="10"/>
  <c r="J80" i="10"/>
  <c r="H80" i="10"/>
  <c r="C80" i="10"/>
  <c r="K79" i="10"/>
  <c r="J79" i="10"/>
  <c r="H79" i="10"/>
  <c r="C79" i="10"/>
  <c r="K78" i="10"/>
  <c r="J78" i="10"/>
  <c r="H78" i="10"/>
  <c r="C78" i="10"/>
  <c r="K77" i="10"/>
  <c r="J77" i="10"/>
  <c r="H77" i="10"/>
  <c r="C77" i="10"/>
  <c r="K76" i="10"/>
  <c r="J76" i="10"/>
  <c r="H76" i="10"/>
  <c r="C76" i="10"/>
  <c r="K75" i="10"/>
  <c r="J75" i="10"/>
  <c r="H75" i="10"/>
  <c r="C75" i="10"/>
  <c r="K74" i="10"/>
  <c r="J74" i="10"/>
  <c r="H74" i="10"/>
  <c r="C74" i="10"/>
  <c r="K73" i="10"/>
  <c r="J73" i="10"/>
  <c r="H73" i="10"/>
  <c r="C73" i="10"/>
  <c r="K72" i="10"/>
  <c r="J72" i="10"/>
  <c r="H72" i="10"/>
  <c r="C72" i="10"/>
  <c r="K71" i="10"/>
  <c r="J71" i="10"/>
  <c r="H71" i="10"/>
  <c r="C71" i="10"/>
  <c r="K70" i="10"/>
  <c r="J70" i="10"/>
  <c r="H70" i="10"/>
  <c r="C70" i="10"/>
  <c r="K69" i="10"/>
  <c r="J69" i="10"/>
  <c r="H69" i="10"/>
  <c r="C69" i="10"/>
  <c r="K68" i="10"/>
  <c r="J68" i="10"/>
  <c r="H68" i="10"/>
  <c r="C68" i="10"/>
  <c r="K67" i="10"/>
  <c r="J67" i="10"/>
  <c r="H67" i="10"/>
  <c r="C67" i="10"/>
  <c r="K66" i="10"/>
  <c r="J66" i="10"/>
  <c r="H66" i="10"/>
  <c r="C66" i="10"/>
  <c r="K65" i="10"/>
  <c r="J65" i="10"/>
  <c r="H65" i="10"/>
  <c r="C65" i="10"/>
  <c r="K64" i="10"/>
  <c r="J64" i="10"/>
  <c r="H64" i="10"/>
  <c r="C64" i="10"/>
  <c r="K63" i="10"/>
  <c r="J63" i="10"/>
  <c r="H63" i="10"/>
  <c r="C63" i="10"/>
  <c r="K62" i="10"/>
  <c r="J62" i="10"/>
  <c r="H62" i="10"/>
  <c r="C62" i="10"/>
  <c r="K61" i="10"/>
  <c r="J61" i="10"/>
  <c r="H61" i="10"/>
  <c r="C61" i="10"/>
  <c r="K60" i="10"/>
  <c r="J60" i="10"/>
  <c r="H60" i="10"/>
  <c r="C60" i="10"/>
  <c r="K59" i="10"/>
  <c r="J59" i="10"/>
  <c r="H59" i="10"/>
  <c r="C59" i="10"/>
  <c r="K58" i="10"/>
  <c r="J58" i="10"/>
  <c r="H58" i="10"/>
  <c r="C58" i="10"/>
  <c r="K57" i="10"/>
  <c r="J57" i="10"/>
  <c r="H57" i="10"/>
  <c r="C57" i="10"/>
  <c r="K56" i="10"/>
  <c r="J56" i="10"/>
  <c r="H56" i="10"/>
  <c r="C56" i="10"/>
  <c r="K55" i="10"/>
  <c r="J55" i="10"/>
  <c r="H55" i="10"/>
  <c r="C55" i="10"/>
  <c r="K54" i="10"/>
  <c r="J54" i="10"/>
  <c r="H54" i="10"/>
  <c r="C54" i="10"/>
  <c r="K53" i="10"/>
  <c r="J53" i="10"/>
  <c r="H53" i="10"/>
  <c r="C53" i="10"/>
  <c r="K52" i="10"/>
  <c r="J52" i="10"/>
  <c r="H52" i="10"/>
  <c r="C52" i="10"/>
  <c r="K51" i="10"/>
  <c r="J51" i="10"/>
  <c r="H51" i="10"/>
  <c r="C51" i="10"/>
  <c r="K50" i="10"/>
  <c r="J50" i="10"/>
  <c r="H50" i="10"/>
  <c r="C50" i="10"/>
  <c r="K49" i="10"/>
  <c r="J49" i="10"/>
  <c r="H49" i="10"/>
  <c r="C49" i="10"/>
  <c r="K48" i="10"/>
  <c r="J48" i="10"/>
  <c r="H48" i="10"/>
  <c r="C48" i="10"/>
  <c r="K47" i="10"/>
  <c r="J47" i="10"/>
  <c r="H47" i="10"/>
  <c r="C47" i="10"/>
  <c r="K46" i="10"/>
  <c r="J46" i="10"/>
  <c r="H46" i="10"/>
  <c r="C46" i="10"/>
  <c r="K45" i="10"/>
  <c r="J45" i="10"/>
  <c r="H45" i="10"/>
  <c r="C45" i="10"/>
  <c r="K44" i="10"/>
  <c r="J44" i="10"/>
  <c r="H44" i="10"/>
  <c r="C44" i="10"/>
  <c r="K43" i="10"/>
  <c r="J43" i="10"/>
  <c r="H43" i="10"/>
  <c r="C43" i="10"/>
  <c r="K42" i="10"/>
  <c r="J42" i="10"/>
  <c r="H42" i="10"/>
  <c r="C42" i="10"/>
  <c r="K41" i="10"/>
  <c r="J41" i="10"/>
  <c r="H41" i="10"/>
  <c r="C41" i="10"/>
  <c r="K40" i="10"/>
  <c r="J40" i="10"/>
  <c r="H40" i="10"/>
  <c r="C40" i="10"/>
  <c r="K39" i="10"/>
  <c r="J39" i="10"/>
  <c r="H39" i="10"/>
  <c r="C39" i="10"/>
  <c r="K38" i="10"/>
  <c r="J38" i="10"/>
  <c r="H38" i="10"/>
  <c r="C38" i="10"/>
  <c r="K37" i="10"/>
  <c r="J37" i="10"/>
  <c r="H37" i="10"/>
  <c r="C37" i="10"/>
  <c r="K36" i="10"/>
  <c r="J36" i="10"/>
  <c r="H36" i="10"/>
  <c r="C36" i="10"/>
  <c r="K35" i="10"/>
  <c r="J35" i="10"/>
  <c r="H35" i="10"/>
  <c r="C35" i="10"/>
  <c r="K34" i="10"/>
  <c r="J34" i="10"/>
  <c r="H34" i="10"/>
  <c r="C34" i="10"/>
  <c r="K33" i="10"/>
  <c r="J33" i="10"/>
  <c r="H33" i="10"/>
  <c r="C33" i="10"/>
  <c r="K32" i="10"/>
  <c r="J32" i="10"/>
  <c r="H32" i="10"/>
  <c r="C32" i="10"/>
  <c r="K31" i="10"/>
  <c r="J31" i="10"/>
  <c r="H31" i="10"/>
  <c r="C31" i="10"/>
  <c r="K30" i="10"/>
  <c r="J30" i="10"/>
  <c r="H30" i="10"/>
  <c r="C30" i="10"/>
  <c r="K29" i="10"/>
  <c r="J29" i="10"/>
  <c r="H29" i="10"/>
  <c r="C29" i="10"/>
  <c r="K28" i="10"/>
  <c r="J28" i="10"/>
  <c r="H28" i="10"/>
  <c r="C28" i="10"/>
  <c r="K27" i="10"/>
  <c r="J27" i="10"/>
  <c r="H27" i="10"/>
  <c r="C27" i="10"/>
  <c r="K26" i="10"/>
  <c r="J26" i="10"/>
  <c r="H26" i="10"/>
  <c r="C26" i="10"/>
  <c r="K25" i="10"/>
  <c r="J25" i="10"/>
  <c r="H25" i="10"/>
  <c r="C25" i="10"/>
  <c r="K24" i="10"/>
  <c r="J24" i="10"/>
  <c r="H24" i="10"/>
  <c r="C24" i="10"/>
  <c r="K23" i="10"/>
  <c r="J23" i="10"/>
  <c r="H23" i="10"/>
  <c r="C23" i="10"/>
  <c r="K22" i="10"/>
  <c r="J22" i="10"/>
  <c r="H22" i="10"/>
  <c r="C22" i="10"/>
  <c r="K21" i="10"/>
  <c r="J21" i="10"/>
  <c r="H21" i="10"/>
  <c r="C21" i="10"/>
  <c r="K20" i="10"/>
  <c r="J20" i="10"/>
  <c r="H20" i="10"/>
  <c r="C20" i="10"/>
  <c r="K19" i="10"/>
  <c r="J19" i="10"/>
  <c r="H19" i="10"/>
  <c r="C19" i="10"/>
  <c r="K18" i="10"/>
  <c r="J18" i="10"/>
  <c r="H18" i="10"/>
  <c r="C18" i="10"/>
  <c r="K17" i="10"/>
  <c r="J17" i="10"/>
  <c r="H17" i="10"/>
  <c r="C17" i="10"/>
  <c r="K16" i="10"/>
  <c r="J16" i="10"/>
  <c r="H16" i="10"/>
  <c r="C16" i="10"/>
  <c r="K15" i="10"/>
  <c r="J15" i="10"/>
  <c r="H15" i="10"/>
  <c r="C15" i="10"/>
  <c r="K14" i="10"/>
  <c r="J14" i="10"/>
  <c r="H14" i="10"/>
  <c r="C14" i="10"/>
  <c r="K13" i="10"/>
  <c r="J13" i="10"/>
  <c r="H13" i="10"/>
  <c r="C13" i="10"/>
  <c r="K12" i="10"/>
  <c r="J12" i="10"/>
  <c r="H12" i="10"/>
  <c r="C12" i="10"/>
  <c r="K11" i="10"/>
  <c r="J11" i="10"/>
  <c r="H11" i="10"/>
  <c r="C11" i="10"/>
  <c r="K10" i="10"/>
  <c r="J10" i="10"/>
  <c r="H10" i="10"/>
  <c r="C10" i="10"/>
  <c r="K9" i="10"/>
  <c r="J9" i="10"/>
  <c r="H9" i="10"/>
  <c r="C9" i="10"/>
  <c r="K8" i="10"/>
  <c r="J8" i="10"/>
  <c r="H8" i="10"/>
  <c r="C8" i="10"/>
  <c r="K7" i="10"/>
  <c r="J7" i="10"/>
  <c r="H7" i="10"/>
  <c r="C7" i="10"/>
  <c r="K6" i="10"/>
  <c r="J6" i="10"/>
  <c r="H6" i="10"/>
  <c r="C6" i="10"/>
  <c r="K5" i="10"/>
  <c r="J5" i="10"/>
  <c r="H5" i="10"/>
  <c r="C5" i="10"/>
  <c r="K4" i="10"/>
  <c r="J4" i="10"/>
  <c r="J104" i="10" s="1"/>
  <c r="H4" i="10"/>
  <c r="C4" i="10"/>
  <c r="H113" i="9"/>
  <c r="I104" i="9"/>
  <c r="H108" i="9" s="1"/>
  <c r="H104" i="9"/>
  <c r="H107" i="9" s="1"/>
  <c r="K103" i="9"/>
  <c r="J103" i="9"/>
  <c r="H103" i="9"/>
  <c r="C103" i="9"/>
  <c r="K102" i="9"/>
  <c r="J102" i="9"/>
  <c r="H102" i="9"/>
  <c r="C102" i="9"/>
  <c r="K101" i="9"/>
  <c r="J101" i="9"/>
  <c r="H101" i="9"/>
  <c r="C101" i="9"/>
  <c r="K100" i="9"/>
  <c r="J100" i="9"/>
  <c r="H100" i="9"/>
  <c r="C100" i="9"/>
  <c r="K99" i="9"/>
  <c r="J99" i="9"/>
  <c r="H99" i="9"/>
  <c r="C99" i="9"/>
  <c r="K98" i="9"/>
  <c r="J98" i="9"/>
  <c r="H98" i="9"/>
  <c r="C98" i="9"/>
  <c r="K97" i="9"/>
  <c r="J97" i="9"/>
  <c r="H97" i="9"/>
  <c r="C97" i="9"/>
  <c r="K96" i="9"/>
  <c r="J96" i="9"/>
  <c r="H96" i="9"/>
  <c r="C96" i="9"/>
  <c r="K95" i="9"/>
  <c r="J95" i="9"/>
  <c r="H95" i="9"/>
  <c r="C95" i="9"/>
  <c r="K94" i="9"/>
  <c r="J94" i="9"/>
  <c r="H94" i="9"/>
  <c r="C94" i="9"/>
  <c r="K93" i="9"/>
  <c r="J93" i="9"/>
  <c r="H93" i="9"/>
  <c r="C93" i="9"/>
  <c r="K92" i="9"/>
  <c r="J92" i="9"/>
  <c r="H92" i="9"/>
  <c r="C92" i="9"/>
  <c r="K91" i="9"/>
  <c r="J91" i="9"/>
  <c r="H91" i="9"/>
  <c r="C91" i="9"/>
  <c r="K90" i="9"/>
  <c r="J90" i="9"/>
  <c r="H90" i="9"/>
  <c r="C90" i="9"/>
  <c r="K89" i="9"/>
  <c r="J89" i="9"/>
  <c r="H89" i="9"/>
  <c r="C89" i="9"/>
  <c r="K88" i="9"/>
  <c r="J88" i="9"/>
  <c r="H88" i="9"/>
  <c r="C88" i="9"/>
  <c r="K87" i="9"/>
  <c r="J87" i="9"/>
  <c r="H87" i="9"/>
  <c r="C87" i="9"/>
  <c r="K86" i="9"/>
  <c r="J86" i="9"/>
  <c r="H86" i="9"/>
  <c r="C86" i="9"/>
  <c r="K85" i="9"/>
  <c r="J85" i="9"/>
  <c r="H85" i="9"/>
  <c r="C85" i="9"/>
  <c r="K84" i="9"/>
  <c r="J84" i="9"/>
  <c r="H84" i="9"/>
  <c r="C84" i="9"/>
  <c r="K83" i="9"/>
  <c r="J83" i="9"/>
  <c r="H83" i="9"/>
  <c r="C83" i="9"/>
  <c r="K82" i="9"/>
  <c r="J82" i="9"/>
  <c r="H82" i="9"/>
  <c r="C82" i="9"/>
  <c r="K81" i="9"/>
  <c r="J81" i="9"/>
  <c r="H81" i="9"/>
  <c r="C81" i="9"/>
  <c r="K80" i="9"/>
  <c r="J80" i="9"/>
  <c r="H80" i="9"/>
  <c r="C80" i="9"/>
  <c r="K79" i="9"/>
  <c r="J79" i="9"/>
  <c r="H79" i="9"/>
  <c r="C79" i="9"/>
  <c r="K78" i="9"/>
  <c r="J78" i="9"/>
  <c r="H78" i="9"/>
  <c r="C78" i="9"/>
  <c r="K77" i="9"/>
  <c r="J77" i="9"/>
  <c r="H77" i="9"/>
  <c r="C77" i="9"/>
  <c r="K76" i="9"/>
  <c r="J76" i="9"/>
  <c r="H76" i="9"/>
  <c r="C76" i="9"/>
  <c r="K75" i="9"/>
  <c r="J75" i="9"/>
  <c r="H75" i="9"/>
  <c r="C75" i="9"/>
  <c r="K74" i="9"/>
  <c r="J74" i="9"/>
  <c r="H74" i="9"/>
  <c r="C74" i="9"/>
  <c r="K73" i="9"/>
  <c r="J73" i="9"/>
  <c r="H73" i="9"/>
  <c r="C73" i="9"/>
  <c r="K72" i="9"/>
  <c r="J72" i="9"/>
  <c r="H72" i="9"/>
  <c r="C72" i="9"/>
  <c r="K71" i="9"/>
  <c r="J71" i="9"/>
  <c r="H71" i="9"/>
  <c r="C71" i="9"/>
  <c r="K70" i="9"/>
  <c r="J70" i="9"/>
  <c r="H70" i="9"/>
  <c r="C70" i="9"/>
  <c r="K69" i="9"/>
  <c r="J69" i="9"/>
  <c r="H69" i="9"/>
  <c r="C69" i="9"/>
  <c r="K68" i="9"/>
  <c r="J68" i="9"/>
  <c r="H68" i="9"/>
  <c r="C68" i="9"/>
  <c r="K67" i="9"/>
  <c r="J67" i="9"/>
  <c r="H67" i="9"/>
  <c r="C67" i="9"/>
  <c r="K66" i="9"/>
  <c r="J66" i="9"/>
  <c r="H66" i="9"/>
  <c r="C66" i="9"/>
  <c r="K65" i="9"/>
  <c r="J65" i="9"/>
  <c r="H65" i="9"/>
  <c r="C65" i="9"/>
  <c r="K64" i="9"/>
  <c r="J64" i="9"/>
  <c r="H64" i="9"/>
  <c r="C64" i="9"/>
  <c r="K63" i="9"/>
  <c r="J63" i="9"/>
  <c r="H63" i="9"/>
  <c r="C63" i="9"/>
  <c r="K62" i="9"/>
  <c r="J62" i="9"/>
  <c r="H62" i="9"/>
  <c r="C62" i="9"/>
  <c r="K61" i="9"/>
  <c r="J61" i="9"/>
  <c r="H61" i="9"/>
  <c r="C61" i="9"/>
  <c r="K60" i="9"/>
  <c r="J60" i="9"/>
  <c r="H60" i="9"/>
  <c r="C60" i="9"/>
  <c r="K59" i="9"/>
  <c r="J59" i="9"/>
  <c r="H59" i="9"/>
  <c r="C59" i="9"/>
  <c r="K58" i="9"/>
  <c r="J58" i="9"/>
  <c r="H58" i="9"/>
  <c r="C58" i="9"/>
  <c r="K57" i="9"/>
  <c r="J57" i="9"/>
  <c r="H57" i="9"/>
  <c r="C57" i="9"/>
  <c r="K56" i="9"/>
  <c r="J56" i="9"/>
  <c r="H56" i="9"/>
  <c r="C56" i="9"/>
  <c r="K55" i="9"/>
  <c r="J55" i="9"/>
  <c r="H55" i="9"/>
  <c r="C55" i="9"/>
  <c r="K54" i="9"/>
  <c r="J54" i="9"/>
  <c r="H54" i="9"/>
  <c r="C54" i="9"/>
  <c r="K53" i="9"/>
  <c r="J53" i="9"/>
  <c r="H53" i="9"/>
  <c r="C53" i="9"/>
  <c r="K52" i="9"/>
  <c r="J52" i="9"/>
  <c r="H52" i="9"/>
  <c r="C52" i="9"/>
  <c r="K51" i="9"/>
  <c r="J51" i="9"/>
  <c r="H51" i="9"/>
  <c r="C51" i="9"/>
  <c r="K50" i="9"/>
  <c r="J50" i="9"/>
  <c r="H50" i="9"/>
  <c r="C50" i="9"/>
  <c r="K49" i="9"/>
  <c r="J49" i="9"/>
  <c r="H49" i="9"/>
  <c r="C49" i="9"/>
  <c r="K48" i="9"/>
  <c r="J48" i="9"/>
  <c r="H48" i="9"/>
  <c r="C48" i="9"/>
  <c r="K47" i="9"/>
  <c r="J47" i="9"/>
  <c r="H47" i="9"/>
  <c r="C47" i="9"/>
  <c r="K46" i="9"/>
  <c r="J46" i="9"/>
  <c r="H46" i="9"/>
  <c r="C46" i="9"/>
  <c r="K45" i="9"/>
  <c r="J45" i="9"/>
  <c r="H45" i="9"/>
  <c r="C45" i="9"/>
  <c r="K44" i="9"/>
  <c r="J44" i="9"/>
  <c r="H44" i="9"/>
  <c r="C44" i="9"/>
  <c r="K43" i="9"/>
  <c r="J43" i="9"/>
  <c r="H43" i="9"/>
  <c r="C43" i="9"/>
  <c r="K42" i="9"/>
  <c r="J42" i="9"/>
  <c r="H42" i="9"/>
  <c r="C42" i="9"/>
  <c r="K41" i="9"/>
  <c r="J41" i="9"/>
  <c r="H41" i="9"/>
  <c r="C41" i="9"/>
  <c r="K40" i="9"/>
  <c r="J40" i="9"/>
  <c r="H40" i="9"/>
  <c r="C40" i="9"/>
  <c r="K39" i="9"/>
  <c r="J39" i="9"/>
  <c r="H39" i="9"/>
  <c r="C39" i="9"/>
  <c r="K38" i="9"/>
  <c r="J38" i="9"/>
  <c r="H38" i="9"/>
  <c r="C38" i="9"/>
  <c r="K37" i="9"/>
  <c r="J37" i="9"/>
  <c r="H37" i="9"/>
  <c r="C37" i="9"/>
  <c r="K36" i="9"/>
  <c r="J36" i="9"/>
  <c r="H36" i="9"/>
  <c r="C36" i="9"/>
  <c r="K35" i="9"/>
  <c r="J35" i="9"/>
  <c r="H35" i="9"/>
  <c r="C35" i="9"/>
  <c r="K34" i="9"/>
  <c r="J34" i="9"/>
  <c r="H34" i="9"/>
  <c r="C34" i="9"/>
  <c r="K33" i="9"/>
  <c r="J33" i="9"/>
  <c r="H33" i="9"/>
  <c r="C33" i="9"/>
  <c r="K32" i="9"/>
  <c r="J32" i="9"/>
  <c r="H32" i="9"/>
  <c r="C32" i="9"/>
  <c r="K31" i="9"/>
  <c r="J31" i="9"/>
  <c r="H31" i="9"/>
  <c r="C31" i="9"/>
  <c r="K30" i="9"/>
  <c r="J30" i="9"/>
  <c r="H30" i="9"/>
  <c r="C30" i="9"/>
  <c r="K29" i="9"/>
  <c r="J29" i="9"/>
  <c r="H29" i="9"/>
  <c r="C29" i="9"/>
  <c r="K28" i="9"/>
  <c r="J28" i="9"/>
  <c r="H28" i="9"/>
  <c r="C28" i="9"/>
  <c r="K27" i="9"/>
  <c r="J27" i="9"/>
  <c r="H27" i="9"/>
  <c r="C27" i="9"/>
  <c r="K26" i="9"/>
  <c r="J26" i="9"/>
  <c r="H26" i="9"/>
  <c r="C26" i="9"/>
  <c r="K25" i="9"/>
  <c r="J25" i="9"/>
  <c r="H25" i="9"/>
  <c r="C25" i="9"/>
  <c r="K24" i="9"/>
  <c r="J24" i="9"/>
  <c r="H24" i="9"/>
  <c r="C24" i="9"/>
  <c r="K23" i="9"/>
  <c r="J23" i="9"/>
  <c r="H23" i="9"/>
  <c r="C23" i="9"/>
  <c r="K22" i="9"/>
  <c r="J22" i="9"/>
  <c r="H22" i="9"/>
  <c r="C22" i="9"/>
  <c r="K21" i="9"/>
  <c r="J21" i="9"/>
  <c r="H21" i="9"/>
  <c r="C21" i="9"/>
  <c r="K20" i="9"/>
  <c r="J20" i="9"/>
  <c r="H20" i="9"/>
  <c r="C20" i="9"/>
  <c r="K19" i="9"/>
  <c r="J19" i="9"/>
  <c r="H19" i="9"/>
  <c r="C19" i="9"/>
  <c r="K18" i="9"/>
  <c r="J18" i="9"/>
  <c r="H18" i="9"/>
  <c r="C18" i="9"/>
  <c r="K17" i="9"/>
  <c r="J17" i="9"/>
  <c r="H17" i="9"/>
  <c r="C17" i="9"/>
  <c r="K16" i="9"/>
  <c r="J16" i="9"/>
  <c r="H16" i="9"/>
  <c r="C16" i="9"/>
  <c r="K15" i="9"/>
  <c r="J15" i="9"/>
  <c r="H15" i="9"/>
  <c r="C15" i="9"/>
  <c r="K14" i="9"/>
  <c r="J14" i="9"/>
  <c r="H14" i="9"/>
  <c r="C14" i="9"/>
  <c r="K13" i="9"/>
  <c r="J13" i="9"/>
  <c r="H13" i="9"/>
  <c r="C13" i="9"/>
  <c r="K12" i="9"/>
  <c r="J12" i="9"/>
  <c r="H12" i="9"/>
  <c r="C12" i="9"/>
  <c r="K11" i="9"/>
  <c r="J11" i="9"/>
  <c r="H11" i="9"/>
  <c r="C11" i="9"/>
  <c r="K10" i="9"/>
  <c r="J10" i="9"/>
  <c r="H10" i="9"/>
  <c r="C10" i="9"/>
  <c r="K9" i="9"/>
  <c r="J9" i="9"/>
  <c r="H9" i="9"/>
  <c r="C9" i="9"/>
  <c r="K8" i="9"/>
  <c r="J8" i="9"/>
  <c r="H8" i="9"/>
  <c r="C8" i="9"/>
  <c r="K7" i="9"/>
  <c r="J7" i="9"/>
  <c r="H7" i="9"/>
  <c r="C7" i="9"/>
  <c r="K6" i="9"/>
  <c r="J6" i="9"/>
  <c r="H6" i="9"/>
  <c r="C6" i="9"/>
  <c r="K5" i="9"/>
  <c r="J5" i="9"/>
  <c r="H5" i="9"/>
  <c r="C5" i="9"/>
  <c r="K4" i="9"/>
  <c r="K104" i="9" s="1"/>
  <c r="J4" i="9"/>
  <c r="J104" i="9" s="1"/>
  <c r="H4" i="9"/>
  <c r="C4" i="9"/>
  <c r="H109" i="8"/>
  <c r="I104" i="8"/>
  <c r="F8" i="19" s="1"/>
  <c r="H8" i="19" s="1"/>
  <c r="K103" i="8"/>
  <c r="J103" i="8"/>
  <c r="H103" i="8"/>
  <c r="C103" i="8"/>
  <c r="K102" i="8"/>
  <c r="J102" i="8"/>
  <c r="H102" i="8"/>
  <c r="C102" i="8"/>
  <c r="K101" i="8"/>
  <c r="J101" i="8"/>
  <c r="H101" i="8"/>
  <c r="C101" i="8"/>
  <c r="K100" i="8"/>
  <c r="J100" i="8"/>
  <c r="H100" i="8"/>
  <c r="C100" i="8"/>
  <c r="K99" i="8"/>
  <c r="J99" i="8"/>
  <c r="H99" i="8"/>
  <c r="C99" i="8"/>
  <c r="K98" i="8"/>
  <c r="J98" i="8"/>
  <c r="H98" i="8"/>
  <c r="C98" i="8"/>
  <c r="K97" i="8"/>
  <c r="J97" i="8"/>
  <c r="H97" i="8"/>
  <c r="C97" i="8"/>
  <c r="K96" i="8"/>
  <c r="J96" i="8"/>
  <c r="H96" i="8"/>
  <c r="C96" i="8"/>
  <c r="K95" i="8"/>
  <c r="J95" i="8"/>
  <c r="H95" i="8"/>
  <c r="C95" i="8"/>
  <c r="K94" i="8"/>
  <c r="J94" i="8"/>
  <c r="H94" i="8"/>
  <c r="C94" i="8"/>
  <c r="K93" i="8"/>
  <c r="J93" i="8"/>
  <c r="H93" i="8"/>
  <c r="C93" i="8"/>
  <c r="K92" i="8"/>
  <c r="J92" i="8"/>
  <c r="H92" i="8"/>
  <c r="C92" i="8"/>
  <c r="K91" i="8"/>
  <c r="J91" i="8"/>
  <c r="H91" i="8"/>
  <c r="C91" i="8"/>
  <c r="K90" i="8"/>
  <c r="J90" i="8"/>
  <c r="H90" i="8"/>
  <c r="C90" i="8"/>
  <c r="K89" i="8"/>
  <c r="J89" i="8"/>
  <c r="H89" i="8"/>
  <c r="C89" i="8"/>
  <c r="K88" i="8"/>
  <c r="J88" i="8"/>
  <c r="H88" i="8"/>
  <c r="C88" i="8"/>
  <c r="K87" i="8"/>
  <c r="J87" i="8"/>
  <c r="H87" i="8"/>
  <c r="C87" i="8"/>
  <c r="K86" i="8"/>
  <c r="J86" i="8"/>
  <c r="H86" i="8"/>
  <c r="C86" i="8"/>
  <c r="K85" i="8"/>
  <c r="J85" i="8"/>
  <c r="H85" i="8"/>
  <c r="C85" i="8"/>
  <c r="K84" i="8"/>
  <c r="J84" i="8"/>
  <c r="H84" i="8"/>
  <c r="C84" i="8"/>
  <c r="K83" i="8"/>
  <c r="J83" i="8"/>
  <c r="H83" i="8"/>
  <c r="C83" i="8"/>
  <c r="K82" i="8"/>
  <c r="J82" i="8"/>
  <c r="H82" i="8"/>
  <c r="C82" i="8"/>
  <c r="K81" i="8"/>
  <c r="J81" i="8"/>
  <c r="H81" i="8"/>
  <c r="C81" i="8"/>
  <c r="K80" i="8"/>
  <c r="J80" i="8"/>
  <c r="H80" i="8"/>
  <c r="C80" i="8"/>
  <c r="K79" i="8"/>
  <c r="J79" i="8"/>
  <c r="H79" i="8"/>
  <c r="C79" i="8"/>
  <c r="K78" i="8"/>
  <c r="J78" i="8"/>
  <c r="H78" i="8"/>
  <c r="C78" i="8"/>
  <c r="K77" i="8"/>
  <c r="J77" i="8"/>
  <c r="H77" i="8"/>
  <c r="C77" i="8"/>
  <c r="K76" i="8"/>
  <c r="J76" i="8"/>
  <c r="H76" i="8"/>
  <c r="C76" i="8"/>
  <c r="K75" i="8"/>
  <c r="J75" i="8"/>
  <c r="H75" i="8"/>
  <c r="C75" i="8"/>
  <c r="K74" i="8"/>
  <c r="J74" i="8"/>
  <c r="H74" i="8"/>
  <c r="C74" i="8"/>
  <c r="K73" i="8"/>
  <c r="J73" i="8"/>
  <c r="H73" i="8"/>
  <c r="C73" i="8"/>
  <c r="K72" i="8"/>
  <c r="J72" i="8"/>
  <c r="H72" i="8"/>
  <c r="C72" i="8"/>
  <c r="K71" i="8"/>
  <c r="J71" i="8"/>
  <c r="H71" i="8"/>
  <c r="C71" i="8"/>
  <c r="K70" i="8"/>
  <c r="J70" i="8"/>
  <c r="H70" i="8"/>
  <c r="C70" i="8"/>
  <c r="K69" i="8"/>
  <c r="J69" i="8"/>
  <c r="H69" i="8"/>
  <c r="C69" i="8"/>
  <c r="K68" i="8"/>
  <c r="J68" i="8"/>
  <c r="H68" i="8"/>
  <c r="C68" i="8"/>
  <c r="K67" i="8"/>
  <c r="J67" i="8"/>
  <c r="H67" i="8"/>
  <c r="C67" i="8"/>
  <c r="K66" i="8"/>
  <c r="J66" i="8"/>
  <c r="H66" i="8"/>
  <c r="C66" i="8"/>
  <c r="K65" i="8"/>
  <c r="J65" i="8"/>
  <c r="H65" i="8"/>
  <c r="C65" i="8"/>
  <c r="K64" i="8"/>
  <c r="J64" i="8"/>
  <c r="H64" i="8"/>
  <c r="C64" i="8"/>
  <c r="K63" i="8"/>
  <c r="J63" i="8"/>
  <c r="H63" i="8"/>
  <c r="C63" i="8"/>
  <c r="K62" i="8"/>
  <c r="J62" i="8"/>
  <c r="H62" i="8"/>
  <c r="C62" i="8"/>
  <c r="K61" i="8"/>
  <c r="J61" i="8"/>
  <c r="H61" i="8"/>
  <c r="C61" i="8"/>
  <c r="K60" i="8"/>
  <c r="J60" i="8"/>
  <c r="H60" i="8"/>
  <c r="C60" i="8"/>
  <c r="K59" i="8"/>
  <c r="J59" i="8"/>
  <c r="H59" i="8"/>
  <c r="C59" i="8"/>
  <c r="K58" i="8"/>
  <c r="J58" i="8"/>
  <c r="H58" i="8"/>
  <c r="C58" i="8"/>
  <c r="K57" i="8"/>
  <c r="J57" i="8"/>
  <c r="H57" i="8"/>
  <c r="C57" i="8"/>
  <c r="K56" i="8"/>
  <c r="J56" i="8"/>
  <c r="H56" i="8"/>
  <c r="C56" i="8"/>
  <c r="K55" i="8"/>
  <c r="J55" i="8"/>
  <c r="H55" i="8"/>
  <c r="C55" i="8"/>
  <c r="K54" i="8"/>
  <c r="J54" i="8"/>
  <c r="H54" i="8"/>
  <c r="C54" i="8"/>
  <c r="K53" i="8"/>
  <c r="J53" i="8"/>
  <c r="H53" i="8"/>
  <c r="C53" i="8"/>
  <c r="K52" i="8"/>
  <c r="J52" i="8"/>
  <c r="H52" i="8"/>
  <c r="C52" i="8"/>
  <c r="K51" i="8"/>
  <c r="J51" i="8"/>
  <c r="H51" i="8"/>
  <c r="C51" i="8"/>
  <c r="K50" i="8"/>
  <c r="J50" i="8"/>
  <c r="H50" i="8"/>
  <c r="C50" i="8"/>
  <c r="K49" i="8"/>
  <c r="J49" i="8"/>
  <c r="H49" i="8"/>
  <c r="C49" i="8"/>
  <c r="K48" i="8"/>
  <c r="J48" i="8"/>
  <c r="H48" i="8"/>
  <c r="C48" i="8"/>
  <c r="K47" i="8"/>
  <c r="J47" i="8"/>
  <c r="H47" i="8"/>
  <c r="C47" i="8"/>
  <c r="K46" i="8"/>
  <c r="J46" i="8"/>
  <c r="H46" i="8"/>
  <c r="C46" i="8"/>
  <c r="K45" i="8"/>
  <c r="J45" i="8"/>
  <c r="H45" i="8"/>
  <c r="C45" i="8"/>
  <c r="K44" i="8"/>
  <c r="J44" i="8"/>
  <c r="H44" i="8"/>
  <c r="C44" i="8"/>
  <c r="K43" i="8"/>
  <c r="J43" i="8"/>
  <c r="H43" i="8"/>
  <c r="C43" i="8"/>
  <c r="K42" i="8"/>
  <c r="J42" i="8"/>
  <c r="H42" i="8"/>
  <c r="C42" i="8"/>
  <c r="K41" i="8"/>
  <c r="J41" i="8"/>
  <c r="H41" i="8"/>
  <c r="C41" i="8"/>
  <c r="K40" i="8"/>
  <c r="J40" i="8"/>
  <c r="H40" i="8"/>
  <c r="C40" i="8"/>
  <c r="K39" i="8"/>
  <c r="J39" i="8"/>
  <c r="H39" i="8"/>
  <c r="C39" i="8"/>
  <c r="K38" i="8"/>
  <c r="J38" i="8"/>
  <c r="H38" i="8"/>
  <c r="C38" i="8"/>
  <c r="K37" i="8"/>
  <c r="J37" i="8"/>
  <c r="H37" i="8"/>
  <c r="C37" i="8"/>
  <c r="K36" i="8"/>
  <c r="J36" i="8"/>
  <c r="H36" i="8"/>
  <c r="C36" i="8"/>
  <c r="K35" i="8"/>
  <c r="J35" i="8"/>
  <c r="H35" i="8"/>
  <c r="C35" i="8"/>
  <c r="K34" i="8"/>
  <c r="J34" i="8"/>
  <c r="H34" i="8"/>
  <c r="C34" i="8"/>
  <c r="K33" i="8"/>
  <c r="J33" i="8"/>
  <c r="H33" i="8"/>
  <c r="C33" i="8"/>
  <c r="K32" i="8"/>
  <c r="J32" i="8"/>
  <c r="H32" i="8"/>
  <c r="C32" i="8"/>
  <c r="K31" i="8"/>
  <c r="J31" i="8"/>
  <c r="H31" i="8"/>
  <c r="C31" i="8"/>
  <c r="K30" i="8"/>
  <c r="J30" i="8"/>
  <c r="H30" i="8"/>
  <c r="C30" i="8"/>
  <c r="K29" i="8"/>
  <c r="J29" i="8"/>
  <c r="H29" i="8"/>
  <c r="C29" i="8"/>
  <c r="K28" i="8"/>
  <c r="J28" i="8"/>
  <c r="H28" i="8"/>
  <c r="C28" i="8"/>
  <c r="K27" i="8"/>
  <c r="J27" i="8"/>
  <c r="H27" i="8"/>
  <c r="C27" i="8"/>
  <c r="K26" i="8"/>
  <c r="J26" i="8"/>
  <c r="H26" i="8"/>
  <c r="C26" i="8"/>
  <c r="K25" i="8"/>
  <c r="J25" i="8"/>
  <c r="H25" i="8"/>
  <c r="C25" i="8"/>
  <c r="K24" i="8"/>
  <c r="J24" i="8"/>
  <c r="H24" i="8"/>
  <c r="C24" i="8"/>
  <c r="K23" i="8"/>
  <c r="J23" i="8"/>
  <c r="H23" i="8"/>
  <c r="C23" i="8"/>
  <c r="K22" i="8"/>
  <c r="J22" i="8"/>
  <c r="H22" i="8"/>
  <c r="C22" i="8"/>
  <c r="K21" i="8"/>
  <c r="J21" i="8"/>
  <c r="H21" i="8"/>
  <c r="C21" i="8"/>
  <c r="K20" i="8"/>
  <c r="J20" i="8"/>
  <c r="H20" i="8"/>
  <c r="C20" i="8"/>
  <c r="K19" i="8"/>
  <c r="J19" i="8"/>
  <c r="H19" i="8"/>
  <c r="C19" i="8"/>
  <c r="K18" i="8"/>
  <c r="J18" i="8"/>
  <c r="H18" i="8"/>
  <c r="C18" i="8"/>
  <c r="K17" i="8"/>
  <c r="J17" i="8"/>
  <c r="H17" i="8"/>
  <c r="C17" i="8"/>
  <c r="K16" i="8"/>
  <c r="J16" i="8"/>
  <c r="H16" i="8"/>
  <c r="C16" i="8"/>
  <c r="K15" i="8"/>
  <c r="J15" i="8"/>
  <c r="H15" i="8"/>
  <c r="C15" i="8"/>
  <c r="K14" i="8"/>
  <c r="J14" i="8"/>
  <c r="H14" i="8"/>
  <c r="C14" i="8"/>
  <c r="K13" i="8"/>
  <c r="J13" i="8"/>
  <c r="H13" i="8"/>
  <c r="C13" i="8"/>
  <c r="K12" i="8"/>
  <c r="J12" i="8"/>
  <c r="H12" i="8"/>
  <c r="C12" i="8"/>
  <c r="K11" i="8"/>
  <c r="J11" i="8"/>
  <c r="H11" i="8"/>
  <c r="C11" i="8"/>
  <c r="K10" i="8"/>
  <c r="J10" i="8"/>
  <c r="H10" i="8"/>
  <c r="C10" i="8"/>
  <c r="K9" i="8"/>
  <c r="J9" i="8"/>
  <c r="H9" i="8"/>
  <c r="C9" i="8"/>
  <c r="K8" i="8"/>
  <c r="J8" i="8"/>
  <c r="H8" i="8"/>
  <c r="C8" i="8"/>
  <c r="K7" i="8"/>
  <c r="J7" i="8"/>
  <c r="H7" i="8"/>
  <c r="H104" i="8" s="1"/>
  <c r="C7" i="8"/>
  <c r="K6" i="8"/>
  <c r="J6" i="8"/>
  <c r="H6" i="8"/>
  <c r="C6" i="8"/>
  <c r="K5" i="8"/>
  <c r="J5" i="8"/>
  <c r="H5" i="8"/>
  <c r="C5" i="8"/>
  <c r="K4" i="8"/>
  <c r="K104" i="8" s="1"/>
  <c r="J4" i="8"/>
  <c r="J104" i="8" s="1"/>
  <c r="H4" i="8"/>
  <c r="C4" i="8"/>
  <c r="H108" i="7"/>
  <c r="I104" i="7"/>
  <c r="F7" i="19" s="1"/>
  <c r="H7" i="19" s="1"/>
  <c r="K103" i="7"/>
  <c r="J103" i="7"/>
  <c r="H103" i="7"/>
  <c r="C103" i="7"/>
  <c r="K102" i="7"/>
  <c r="J102" i="7"/>
  <c r="H102" i="7"/>
  <c r="C102" i="7"/>
  <c r="K101" i="7"/>
  <c r="J101" i="7"/>
  <c r="H101" i="7"/>
  <c r="C101" i="7"/>
  <c r="K100" i="7"/>
  <c r="J100" i="7"/>
  <c r="H100" i="7"/>
  <c r="C100" i="7"/>
  <c r="K99" i="7"/>
  <c r="J99" i="7"/>
  <c r="H99" i="7"/>
  <c r="C99" i="7"/>
  <c r="K98" i="7"/>
  <c r="J98" i="7"/>
  <c r="H98" i="7"/>
  <c r="C98" i="7"/>
  <c r="K97" i="7"/>
  <c r="J97" i="7"/>
  <c r="H97" i="7"/>
  <c r="C97" i="7"/>
  <c r="K96" i="7"/>
  <c r="J96" i="7"/>
  <c r="H96" i="7"/>
  <c r="C96" i="7"/>
  <c r="K95" i="7"/>
  <c r="J95" i="7"/>
  <c r="H95" i="7"/>
  <c r="C95" i="7"/>
  <c r="K94" i="7"/>
  <c r="J94" i="7"/>
  <c r="H94" i="7"/>
  <c r="C94" i="7"/>
  <c r="K93" i="7"/>
  <c r="J93" i="7"/>
  <c r="H93" i="7"/>
  <c r="C93" i="7"/>
  <c r="K92" i="7"/>
  <c r="J92" i="7"/>
  <c r="H92" i="7"/>
  <c r="C92" i="7"/>
  <c r="K91" i="7"/>
  <c r="J91" i="7"/>
  <c r="H91" i="7"/>
  <c r="C91" i="7"/>
  <c r="K90" i="7"/>
  <c r="J90" i="7"/>
  <c r="H90" i="7"/>
  <c r="C90" i="7"/>
  <c r="K89" i="7"/>
  <c r="J89" i="7"/>
  <c r="H89" i="7"/>
  <c r="C89" i="7"/>
  <c r="K88" i="7"/>
  <c r="J88" i="7"/>
  <c r="H88" i="7"/>
  <c r="C88" i="7"/>
  <c r="K87" i="7"/>
  <c r="J87" i="7"/>
  <c r="H87" i="7"/>
  <c r="C87" i="7"/>
  <c r="K86" i="7"/>
  <c r="J86" i="7"/>
  <c r="H86" i="7"/>
  <c r="C86" i="7"/>
  <c r="K85" i="7"/>
  <c r="J85" i="7"/>
  <c r="H85" i="7"/>
  <c r="C85" i="7"/>
  <c r="K84" i="7"/>
  <c r="J84" i="7"/>
  <c r="H84" i="7"/>
  <c r="C84" i="7"/>
  <c r="K83" i="7"/>
  <c r="J83" i="7"/>
  <c r="H83" i="7"/>
  <c r="C83" i="7"/>
  <c r="K82" i="7"/>
  <c r="J82" i="7"/>
  <c r="H82" i="7"/>
  <c r="C82" i="7"/>
  <c r="K81" i="7"/>
  <c r="J81" i="7"/>
  <c r="H81" i="7"/>
  <c r="C81" i="7"/>
  <c r="K80" i="7"/>
  <c r="J80" i="7"/>
  <c r="H80" i="7"/>
  <c r="C80" i="7"/>
  <c r="K79" i="7"/>
  <c r="J79" i="7"/>
  <c r="H79" i="7"/>
  <c r="C79" i="7"/>
  <c r="K78" i="7"/>
  <c r="J78" i="7"/>
  <c r="H78" i="7"/>
  <c r="C78" i="7"/>
  <c r="K77" i="7"/>
  <c r="J77" i="7"/>
  <c r="H77" i="7"/>
  <c r="C77" i="7"/>
  <c r="K76" i="7"/>
  <c r="J76" i="7"/>
  <c r="H76" i="7"/>
  <c r="C76" i="7"/>
  <c r="K75" i="7"/>
  <c r="J75" i="7"/>
  <c r="H75" i="7"/>
  <c r="C75" i="7"/>
  <c r="K74" i="7"/>
  <c r="J74" i="7"/>
  <c r="H74" i="7"/>
  <c r="C74" i="7"/>
  <c r="K73" i="7"/>
  <c r="J73" i="7"/>
  <c r="H73" i="7"/>
  <c r="C73" i="7"/>
  <c r="K72" i="7"/>
  <c r="J72" i="7"/>
  <c r="H72" i="7"/>
  <c r="C72" i="7"/>
  <c r="K71" i="7"/>
  <c r="J71" i="7"/>
  <c r="H71" i="7"/>
  <c r="C71" i="7"/>
  <c r="K70" i="7"/>
  <c r="J70" i="7"/>
  <c r="H70" i="7"/>
  <c r="C70" i="7"/>
  <c r="K69" i="7"/>
  <c r="J69" i="7"/>
  <c r="H69" i="7"/>
  <c r="C69" i="7"/>
  <c r="K68" i="7"/>
  <c r="J68" i="7"/>
  <c r="H68" i="7"/>
  <c r="C68" i="7"/>
  <c r="K67" i="7"/>
  <c r="J67" i="7"/>
  <c r="H67" i="7"/>
  <c r="C67" i="7"/>
  <c r="K66" i="7"/>
  <c r="J66" i="7"/>
  <c r="H66" i="7"/>
  <c r="C66" i="7"/>
  <c r="K65" i="7"/>
  <c r="J65" i="7"/>
  <c r="H65" i="7"/>
  <c r="C65" i="7"/>
  <c r="K64" i="7"/>
  <c r="J64" i="7"/>
  <c r="H64" i="7"/>
  <c r="C64" i="7"/>
  <c r="K63" i="7"/>
  <c r="J63" i="7"/>
  <c r="H63" i="7"/>
  <c r="C63" i="7"/>
  <c r="K62" i="7"/>
  <c r="J62" i="7"/>
  <c r="H62" i="7"/>
  <c r="C62" i="7"/>
  <c r="K61" i="7"/>
  <c r="J61" i="7"/>
  <c r="H61" i="7"/>
  <c r="C61" i="7"/>
  <c r="K60" i="7"/>
  <c r="J60" i="7"/>
  <c r="H60" i="7"/>
  <c r="C60" i="7"/>
  <c r="K59" i="7"/>
  <c r="J59" i="7"/>
  <c r="H59" i="7"/>
  <c r="C59" i="7"/>
  <c r="K58" i="7"/>
  <c r="J58" i="7"/>
  <c r="H58" i="7"/>
  <c r="C58" i="7"/>
  <c r="K57" i="7"/>
  <c r="J57" i="7"/>
  <c r="H57" i="7"/>
  <c r="C57" i="7"/>
  <c r="K56" i="7"/>
  <c r="J56" i="7"/>
  <c r="H56" i="7"/>
  <c r="C56" i="7"/>
  <c r="K55" i="7"/>
  <c r="J55" i="7"/>
  <c r="H55" i="7"/>
  <c r="C55" i="7"/>
  <c r="K54" i="7"/>
  <c r="J54" i="7"/>
  <c r="H54" i="7"/>
  <c r="C54" i="7"/>
  <c r="K53" i="7"/>
  <c r="J53" i="7"/>
  <c r="H53" i="7"/>
  <c r="C53" i="7"/>
  <c r="K52" i="7"/>
  <c r="J52" i="7"/>
  <c r="H52" i="7"/>
  <c r="C52" i="7"/>
  <c r="K51" i="7"/>
  <c r="J51" i="7"/>
  <c r="H51" i="7"/>
  <c r="C51" i="7"/>
  <c r="K50" i="7"/>
  <c r="J50" i="7"/>
  <c r="H50" i="7"/>
  <c r="C50" i="7"/>
  <c r="K49" i="7"/>
  <c r="J49" i="7"/>
  <c r="H49" i="7"/>
  <c r="C49" i="7"/>
  <c r="K48" i="7"/>
  <c r="J48" i="7"/>
  <c r="H48" i="7"/>
  <c r="C48" i="7"/>
  <c r="K47" i="7"/>
  <c r="J47" i="7"/>
  <c r="H47" i="7"/>
  <c r="C47" i="7"/>
  <c r="K46" i="7"/>
  <c r="J46" i="7"/>
  <c r="H46" i="7"/>
  <c r="C46" i="7"/>
  <c r="K45" i="7"/>
  <c r="J45" i="7"/>
  <c r="H45" i="7"/>
  <c r="C45" i="7"/>
  <c r="K44" i="7"/>
  <c r="J44" i="7"/>
  <c r="H44" i="7"/>
  <c r="C44" i="7"/>
  <c r="K43" i="7"/>
  <c r="J43" i="7"/>
  <c r="H43" i="7"/>
  <c r="C43" i="7"/>
  <c r="K42" i="7"/>
  <c r="J42" i="7"/>
  <c r="H42" i="7"/>
  <c r="C42" i="7"/>
  <c r="K41" i="7"/>
  <c r="J41" i="7"/>
  <c r="H41" i="7"/>
  <c r="C41" i="7"/>
  <c r="K40" i="7"/>
  <c r="J40" i="7"/>
  <c r="H40" i="7"/>
  <c r="C40" i="7"/>
  <c r="K39" i="7"/>
  <c r="J39" i="7"/>
  <c r="H39" i="7"/>
  <c r="C39" i="7"/>
  <c r="K38" i="7"/>
  <c r="J38" i="7"/>
  <c r="H38" i="7"/>
  <c r="C38" i="7"/>
  <c r="K37" i="7"/>
  <c r="J37" i="7"/>
  <c r="H37" i="7"/>
  <c r="C37" i="7"/>
  <c r="K36" i="7"/>
  <c r="J36" i="7"/>
  <c r="H36" i="7"/>
  <c r="C36" i="7"/>
  <c r="K35" i="7"/>
  <c r="J35" i="7"/>
  <c r="H35" i="7"/>
  <c r="C35" i="7"/>
  <c r="K34" i="7"/>
  <c r="J34" i="7"/>
  <c r="H34" i="7"/>
  <c r="C34" i="7"/>
  <c r="K33" i="7"/>
  <c r="J33" i="7"/>
  <c r="H33" i="7"/>
  <c r="C33" i="7"/>
  <c r="K32" i="7"/>
  <c r="J32" i="7"/>
  <c r="H32" i="7"/>
  <c r="C32" i="7"/>
  <c r="K31" i="7"/>
  <c r="J31" i="7"/>
  <c r="H31" i="7"/>
  <c r="C31" i="7"/>
  <c r="K30" i="7"/>
  <c r="J30" i="7"/>
  <c r="H30" i="7"/>
  <c r="C30" i="7"/>
  <c r="K29" i="7"/>
  <c r="J29" i="7"/>
  <c r="H29" i="7"/>
  <c r="C29" i="7"/>
  <c r="K28" i="7"/>
  <c r="J28" i="7"/>
  <c r="H28" i="7"/>
  <c r="C28" i="7"/>
  <c r="K27" i="7"/>
  <c r="J27" i="7"/>
  <c r="H27" i="7"/>
  <c r="C27" i="7"/>
  <c r="K26" i="7"/>
  <c r="J26" i="7"/>
  <c r="H26" i="7"/>
  <c r="C26" i="7"/>
  <c r="K25" i="7"/>
  <c r="J25" i="7"/>
  <c r="H25" i="7"/>
  <c r="C25" i="7"/>
  <c r="K24" i="7"/>
  <c r="J24" i="7"/>
  <c r="H24" i="7"/>
  <c r="C24" i="7"/>
  <c r="K23" i="7"/>
  <c r="J23" i="7"/>
  <c r="H23" i="7"/>
  <c r="C23" i="7"/>
  <c r="K22" i="7"/>
  <c r="J22" i="7"/>
  <c r="H22" i="7"/>
  <c r="C22" i="7"/>
  <c r="K21" i="7"/>
  <c r="J21" i="7"/>
  <c r="H21" i="7"/>
  <c r="C21" i="7"/>
  <c r="K20" i="7"/>
  <c r="J20" i="7"/>
  <c r="H20" i="7"/>
  <c r="C20" i="7"/>
  <c r="K19" i="7"/>
  <c r="J19" i="7"/>
  <c r="H19" i="7"/>
  <c r="C19" i="7"/>
  <c r="K18" i="7"/>
  <c r="J18" i="7"/>
  <c r="H18" i="7"/>
  <c r="C18" i="7"/>
  <c r="K17" i="7"/>
  <c r="J17" i="7"/>
  <c r="H17" i="7"/>
  <c r="C17" i="7"/>
  <c r="K16" i="7"/>
  <c r="J16" i="7"/>
  <c r="H16" i="7"/>
  <c r="C16" i="7"/>
  <c r="K15" i="7"/>
  <c r="J15" i="7"/>
  <c r="H15" i="7"/>
  <c r="C15" i="7"/>
  <c r="K14" i="7"/>
  <c r="J14" i="7"/>
  <c r="H14" i="7"/>
  <c r="C14" i="7"/>
  <c r="K13" i="7"/>
  <c r="J13" i="7"/>
  <c r="H13" i="7"/>
  <c r="C13" i="7"/>
  <c r="K12" i="7"/>
  <c r="J12" i="7"/>
  <c r="H12" i="7"/>
  <c r="C12" i="7"/>
  <c r="K11" i="7"/>
  <c r="J11" i="7"/>
  <c r="H11" i="7"/>
  <c r="C11" i="7"/>
  <c r="K10" i="7"/>
  <c r="J10" i="7"/>
  <c r="H10" i="7"/>
  <c r="C10" i="7"/>
  <c r="K9" i="7"/>
  <c r="J9" i="7"/>
  <c r="H9" i="7"/>
  <c r="C9" i="7"/>
  <c r="K8" i="7"/>
  <c r="J8" i="7"/>
  <c r="H8" i="7"/>
  <c r="C8" i="7"/>
  <c r="K7" i="7"/>
  <c r="J7" i="7"/>
  <c r="H7" i="7"/>
  <c r="C7" i="7"/>
  <c r="K6" i="7"/>
  <c r="J6" i="7"/>
  <c r="H6" i="7"/>
  <c r="C6" i="7"/>
  <c r="K5" i="7"/>
  <c r="J5" i="7"/>
  <c r="H5" i="7"/>
  <c r="H104" i="7" s="1"/>
  <c r="C5" i="7"/>
  <c r="K4" i="7"/>
  <c r="K104" i="7" s="1"/>
  <c r="J4" i="7"/>
  <c r="J104" i="7" s="1"/>
  <c r="H4" i="7"/>
  <c r="C4" i="7"/>
  <c r="I104" i="6"/>
  <c r="H112" i="6" s="1"/>
  <c r="H104" i="6"/>
  <c r="H107" i="6" s="1"/>
  <c r="K103" i="6"/>
  <c r="J103" i="6"/>
  <c r="H103" i="6"/>
  <c r="C103" i="6"/>
  <c r="K102" i="6"/>
  <c r="J102" i="6"/>
  <c r="H102" i="6"/>
  <c r="C102" i="6"/>
  <c r="K101" i="6"/>
  <c r="J101" i="6"/>
  <c r="H101" i="6"/>
  <c r="C101" i="6"/>
  <c r="K100" i="6"/>
  <c r="J100" i="6"/>
  <c r="H100" i="6"/>
  <c r="C100" i="6"/>
  <c r="K99" i="6"/>
  <c r="J99" i="6"/>
  <c r="H99" i="6"/>
  <c r="C99" i="6"/>
  <c r="K98" i="6"/>
  <c r="J98" i="6"/>
  <c r="H98" i="6"/>
  <c r="C98" i="6"/>
  <c r="K97" i="6"/>
  <c r="J97" i="6"/>
  <c r="H97" i="6"/>
  <c r="C97" i="6"/>
  <c r="K96" i="6"/>
  <c r="J96" i="6"/>
  <c r="H96" i="6"/>
  <c r="C96" i="6"/>
  <c r="K95" i="6"/>
  <c r="J95" i="6"/>
  <c r="H95" i="6"/>
  <c r="C95" i="6"/>
  <c r="K94" i="6"/>
  <c r="J94" i="6"/>
  <c r="H94" i="6"/>
  <c r="C94" i="6"/>
  <c r="K93" i="6"/>
  <c r="J93" i="6"/>
  <c r="H93" i="6"/>
  <c r="C93" i="6"/>
  <c r="K92" i="6"/>
  <c r="J92" i="6"/>
  <c r="H92" i="6"/>
  <c r="C92" i="6"/>
  <c r="K91" i="6"/>
  <c r="J91" i="6"/>
  <c r="H91" i="6"/>
  <c r="C91" i="6"/>
  <c r="K90" i="6"/>
  <c r="J90" i="6"/>
  <c r="H90" i="6"/>
  <c r="C90" i="6"/>
  <c r="K89" i="6"/>
  <c r="J89" i="6"/>
  <c r="H89" i="6"/>
  <c r="C89" i="6"/>
  <c r="K88" i="6"/>
  <c r="J88" i="6"/>
  <c r="H88" i="6"/>
  <c r="C88" i="6"/>
  <c r="K87" i="6"/>
  <c r="J87" i="6"/>
  <c r="H87" i="6"/>
  <c r="C87" i="6"/>
  <c r="K86" i="6"/>
  <c r="J86" i="6"/>
  <c r="H86" i="6"/>
  <c r="C86" i="6"/>
  <c r="K85" i="6"/>
  <c r="J85" i="6"/>
  <c r="H85" i="6"/>
  <c r="C85" i="6"/>
  <c r="K84" i="6"/>
  <c r="J84" i="6"/>
  <c r="H84" i="6"/>
  <c r="C84" i="6"/>
  <c r="K83" i="6"/>
  <c r="J83" i="6"/>
  <c r="H83" i="6"/>
  <c r="C83" i="6"/>
  <c r="K82" i="6"/>
  <c r="J82" i="6"/>
  <c r="H82" i="6"/>
  <c r="C82" i="6"/>
  <c r="K81" i="6"/>
  <c r="J81" i="6"/>
  <c r="H81" i="6"/>
  <c r="C81" i="6"/>
  <c r="K80" i="6"/>
  <c r="J80" i="6"/>
  <c r="H80" i="6"/>
  <c r="C80" i="6"/>
  <c r="K79" i="6"/>
  <c r="J79" i="6"/>
  <c r="H79" i="6"/>
  <c r="C79" i="6"/>
  <c r="K78" i="6"/>
  <c r="J78" i="6"/>
  <c r="H78" i="6"/>
  <c r="C78" i="6"/>
  <c r="K77" i="6"/>
  <c r="J77" i="6"/>
  <c r="H77" i="6"/>
  <c r="C77" i="6"/>
  <c r="K76" i="6"/>
  <c r="J76" i="6"/>
  <c r="H76" i="6"/>
  <c r="C76" i="6"/>
  <c r="K75" i="6"/>
  <c r="J75" i="6"/>
  <c r="H75" i="6"/>
  <c r="C75" i="6"/>
  <c r="K74" i="6"/>
  <c r="J74" i="6"/>
  <c r="H74" i="6"/>
  <c r="C74" i="6"/>
  <c r="K73" i="6"/>
  <c r="J73" i="6"/>
  <c r="H73" i="6"/>
  <c r="C73" i="6"/>
  <c r="K72" i="6"/>
  <c r="J72" i="6"/>
  <c r="H72" i="6"/>
  <c r="C72" i="6"/>
  <c r="K71" i="6"/>
  <c r="J71" i="6"/>
  <c r="H71" i="6"/>
  <c r="C71" i="6"/>
  <c r="K70" i="6"/>
  <c r="J70" i="6"/>
  <c r="H70" i="6"/>
  <c r="C70" i="6"/>
  <c r="K69" i="6"/>
  <c r="J69" i="6"/>
  <c r="H69" i="6"/>
  <c r="C69" i="6"/>
  <c r="K68" i="6"/>
  <c r="J68" i="6"/>
  <c r="H68" i="6"/>
  <c r="C68" i="6"/>
  <c r="K67" i="6"/>
  <c r="J67" i="6"/>
  <c r="H67" i="6"/>
  <c r="C67" i="6"/>
  <c r="K66" i="6"/>
  <c r="J66" i="6"/>
  <c r="H66" i="6"/>
  <c r="C66" i="6"/>
  <c r="K65" i="6"/>
  <c r="J65" i="6"/>
  <c r="H65" i="6"/>
  <c r="C65" i="6"/>
  <c r="K64" i="6"/>
  <c r="J64" i="6"/>
  <c r="H64" i="6"/>
  <c r="C64" i="6"/>
  <c r="K63" i="6"/>
  <c r="J63" i="6"/>
  <c r="H63" i="6"/>
  <c r="C63" i="6"/>
  <c r="K62" i="6"/>
  <c r="J62" i="6"/>
  <c r="H62" i="6"/>
  <c r="C62" i="6"/>
  <c r="K61" i="6"/>
  <c r="J61" i="6"/>
  <c r="H61" i="6"/>
  <c r="C61" i="6"/>
  <c r="K60" i="6"/>
  <c r="J60" i="6"/>
  <c r="H60" i="6"/>
  <c r="C60" i="6"/>
  <c r="K59" i="6"/>
  <c r="J59" i="6"/>
  <c r="H59" i="6"/>
  <c r="C59" i="6"/>
  <c r="K58" i="6"/>
  <c r="J58" i="6"/>
  <c r="H58" i="6"/>
  <c r="C58" i="6"/>
  <c r="K57" i="6"/>
  <c r="J57" i="6"/>
  <c r="H57" i="6"/>
  <c r="C57" i="6"/>
  <c r="K56" i="6"/>
  <c r="J56" i="6"/>
  <c r="H56" i="6"/>
  <c r="C56" i="6"/>
  <c r="K55" i="6"/>
  <c r="J55" i="6"/>
  <c r="H55" i="6"/>
  <c r="C55" i="6"/>
  <c r="K54" i="6"/>
  <c r="J54" i="6"/>
  <c r="H54" i="6"/>
  <c r="C54" i="6"/>
  <c r="K53" i="6"/>
  <c r="J53" i="6"/>
  <c r="H53" i="6"/>
  <c r="C53" i="6"/>
  <c r="K52" i="6"/>
  <c r="J52" i="6"/>
  <c r="H52" i="6"/>
  <c r="C52" i="6"/>
  <c r="K51" i="6"/>
  <c r="J51" i="6"/>
  <c r="H51" i="6"/>
  <c r="C51" i="6"/>
  <c r="K50" i="6"/>
  <c r="J50" i="6"/>
  <c r="H50" i="6"/>
  <c r="C50" i="6"/>
  <c r="K49" i="6"/>
  <c r="J49" i="6"/>
  <c r="H49" i="6"/>
  <c r="C49" i="6"/>
  <c r="K48" i="6"/>
  <c r="J48" i="6"/>
  <c r="H48" i="6"/>
  <c r="C48" i="6"/>
  <c r="K47" i="6"/>
  <c r="J47" i="6"/>
  <c r="H47" i="6"/>
  <c r="C47" i="6"/>
  <c r="K46" i="6"/>
  <c r="J46" i="6"/>
  <c r="H46" i="6"/>
  <c r="C46" i="6"/>
  <c r="K45" i="6"/>
  <c r="J45" i="6"/>
  <c r="H45" i="6"/>
  <c r="C45" i="6"/>
  <c r="K44" i="6"/>
  <c r="J44" i="6"/>
  <c r="H44" i="6"/>
  <c r="C44" i="6"/>
  <c r="K43" i="6"/>
  <c r="J43" i="6"/>
  <c r="H43" i="6"/>
  <c r="C43" i="6"/>
  <c r="K42" i="6"/>
  <c r="J42" i="6"/>
  <c r="H42" i="6"/>
  <c r="C42" i="6"/>
  <c r="K41" i="6"/>
  <c r="J41" i="6"/>
  <c r="H41" i="6"/>
  <c r="C41" i="6"/>
  <c r="K40" i="6"/>
  <c r="J40" i="6"/>
  <c r="H40" i="6"/>
  <c r="C40" i="6"/>
  <c r="K39" i="6"/>
  <c r="J39" i="6"/>
  <c r="H39" i="6"/>
  <c r="C39" i="6"/>
  <c r="K38" i="6"/>
  <c r="J38" i="6"/>
  <c r="H38" i="6"/>
  <c r="C38" i="6"/>
  <c r="K37" i="6"/>
  <c r="J37" i="6"/>
  <c r="H37" i="6"/>
  <c r="C37" i="6"/>
  <c r="K36" i="6"/>
  <c r="J36" i="6"/>
  <c r="H36" i="6"/>
  <c r="C36" i="6"/>
  <c r="K35" i="6"/>
  <c r="J35" i="6"/>
  <c r="H35" i="6"/>
  <c r="C35" i="6"/>
  <c r="K34" i="6"/>
  <c r="J34" i="6"/>
  <c r="H34" i="6"/>
  <c r="C34" i="6"/>
  <c r="K33" i="6"/>
  <c r="J33" i="6"/>
  <c r="H33" i="6"/>
  <c r="C33" i="6"/>
  <c r="K32" i="6"/>
  <c r="J32" i="6"/>
  <c r="H32" i="6"/>
  <c r="C32" i="6"/>
  <c r="K31" i="6"/>
  <c r="J31" i="6"/>
  <c r="H31" i="6"/>
  <c r="C31" i="6"/>
  <c r="K30" i="6"/>
  <c r="J30" i="6"/>
  <c r="H30" i="6"/>
  <c r="C30" i="6"/>
  <c r="K29" i="6"/>
  <c r="J29" i="6"/>
  <c r="H29" i="6"/>
  <c r="C29" i="6"/>
  <c r="K28" i="6"/>
  <c r="J28" i="6"/>
  <c r="H28" i="6"/>
  <c r="C28" i="6"/>
  <c r="K27" i="6"/>
  <c r="J27" i="6"/>
  <c r="H27" i="6"/>
  <c r="C27" i="6"/>
  <c r="K26" i="6"/>
  <c r="J26" i="6"/>
  <c r="H26" i="6"/>
  <c r="C26" i="6"/>
  <c r="K25" i="6"/>
  <c r="J25" i="6"/>
  <c r="H25" i="6"/>
  <c r="C25" i="6"/>
  <c r="K24" i="6"/>
  <c r="J24" i="6"/>
  <c r="H24" i="6"/>
  <c r="C24" i="6"/>
  <c r="K23" i="6"/>
  <c r="J23" i="6"/>
  <c r="H23" i="6"/>
  <c r="C23" i="6"/>
  <c r="K22" i="6"/>
  <c r="J22" i="6"/>
  <c r="H22" i="6"/>
  <c r="C22" i="6"/>
  <c r="K21" i="6"/>
  <c r="J21" i="6"/>
  <c r="H21" i="6"/>
  <c r="C21" i="6"/>
  <c r="K20" i="6"/>
  <c r="J20" i="6"/>
  <c r="H20" i="6"/>
  <c r="C20" i="6"/>
  <c r="K19" i="6"/>
  <c r="J19" i="6"/>
  <c r="H19" i="6"/>
  <c r="C19" i="6"/>
  <c r="K18" i="6"/>
  <c r="J18" i="6"/>
  <c r="H18" i="6"/>
  <c r="C18" i="6"/>
  <c r="K17" i="6"/>
  <c r="J17" i="6"/>
  <c r="H17" i="6"/>
  <c r="C17" i="6"/>
  <c r="K16" i="6"/>
  <c r="J16" i="6"/>
  <c r="H16" i="6"/>
  <c r="C16" i="6"/>
  <c r="K15" i="6"/>
  <c r="J15" i="6"/>
  <c r="H15" i="6"/>
  <c r="C15" i="6"/>
  <c r="K14" i="6"/>
  <c r="J14" i="6"/>
  <c r="H14" i="6"/>
  <c r="C14" i="6"/>
  <c r="K13" i="6"/>
  <c r="J13" i="6"/>
  <c r="H13" i="6"/>
  <c r="C13" i="6"/>
  <c r="K12" i="6"/>
  <c r="J12" i="6"/>
  <c r="H12" i="6"/>
  <c r="C12" i="6"/>
  <c r="K11" i="6"/>
  <c r="J11" i="6"/>
  <c r="H11" i="6"/>
  <c r="C11" i="6"/>
  <c r="K10" i="6"/>
  <c r="J10" i="6"/>
  <c r="H10" i="6"/>
  <c r="C10" i="6"/>
  <c r="K9" i="6"/>
  <c r="J9" i="6"/>
  <c r="H9" i="6"/>
  <c r="C9" i="6"/>
  <c r="K8" i="6"/>
  <c r="J8" i="6"/>
  <c r="H8" i="6"/>
  <c r="C8" i="6"/>
  <c r="K7" i="6"/>
  <c r="J7" i="6"/>
  <c r="H7" i="6"/>
  <c r="C7" i="6"/>
  <c r="K6" i="6"/>
  <c r="J6" i="6"/>
  <c r="H6" i="6"/>
  <c r="C6" i="6"/>
  <c r="K5" i="6"/>
  <c r="J5" i="6"/>
  <c r="H5" i="6"/>
  <c r="C5" i="6"/>
  <c r="K4" i="6"/>
  <c r="K104" i="6" s="1"/>
  <c r="J4" i="6"/>
  <c r="J104" i="6" s="1"/>
  <c r="H4" i="6"/>
  <c r="C4" i="6"/>
  <c r="K21" i="5"/>
  <c r="C13" i="19" s="1"/>
  <c r="G21" i="5"/>
  <c r="C9" i="19" s="1"/>
  <c r="D21" i="5"/>
  <c r="C6" i="1" s="1"/>
  <c r="O20" i="5"/>
  <c r="H109" i="17" s="1"/>
  <c r="N20" i="5"/>
  <c r="H109" i="16" s="1"/>
  <c r="M20" i="5"/>
  <c r="H109" i="15" s="1"/>
  <c r="L20" i="5"/>
  <c r="H109" i="14" s="1"/>
  <c r="K20" i="5"/>
  <c r="H109" i="13" s="1"/>
  <c r="J20" i="5"/>
  <c r="H109" i="12" s="1"/>
  <c r="I20" i="5"/>
  <c r="I21" i="5" s="1"/>
  <c r="H20" i="5"/>
  <c r="H21" i="5" s="1"/>
  <c r="G20" i="5"/>
  <c r="H109" i="9" s="1"/>
  <c r="F20" i="5"/>
  <c r="F21" i="5" s="1"/>
  <c r="E20" i="5"/>
  <c r="H109" i="7" s="1"/>
  <c r="D20" i="5"/>
  <c r="H109" i="6" s="1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I15" i="4"/>
  <c r="H15" i="4"/>
  <c r="G15" i="4"/>
  <c r="F15" i="4"/>
  <c r="E15" i="4"/>
  <c r="E21" i="5" s="1"/>
  <c r="W14" i="4"/>
  <c r="V14" i="4"/>
  <c r="U14" i="4"/>
  <c r="T14" i="4"/>
  <c r="Q14" i="4"/>
  <c r="P14" i="4"/>
  <c r="O14" i="4"/>
  <c r="N14" i="4"/>
  <c r="M14" i="4"/>
  <c r="L14" i="4"/>
  <c r="J14" i="4"/>
  <c r="S14" i="4" s="1"/>
  <c r="W13" i="4"/>
  <c r="V13" i="4"/>
  <c r="U13" i="4"/>
  <c r="T13" i="4"/>
  <c r="S13" i="4"/>
  <c r="R13" i="4"/>
  <c r="O13" i="4"/>
  <c r="N13" i="4"/>
  <c r="J13" i="4"/>
  <c r="M13" i="4" s="1"/>
  <c r="V12" i="4"/>
  <c r="U12" i="4"/>
  <c r="T12" i="4"/>
  <c r="S12" i="4"/>
  <c r="R12" i="4"/>
  <c r="Q12" i="4"/>
  <c r="P12" i="4"/>
  <c r="M12" i="4"/>
  <c r="L12" i="4"/>
  <c r="J12" i="4"/>
  <c r="W12" i="4" s="1"/>
  <c r="V11" i="4"/>
  <c r="S11" i="4"/>
  <c r="P11" i="4"/>
  <c r="O11" i="4"/>
  <c r="N11" i="4"/>
  <c r="J11" i="4"/>
  <c r="W11" i="4" s="1"/>
  <c r="W10" i="4"/>
  <c r="V10" i="4"/>
  <c r="U10" i="4"/>
  <c r="T10" i="4"/>
  <c r="S10" i="4"/>
  <c r="R10" i="4"/>
  <c r="Q10" i="4"/>
  <c r="P10" i="4"/>
  <c r="O10" i="4"/>
  <c r="N10" i="4"/>
  <c r="M10" i="4"/>
  <c r="L10" i="4"/>
  <c r="X10" i="4" s="1"/>
  <c r="J10" i="4"/>
  <c r="J9" i="4"/>
  <c r="U9" i="4" s="1"/>
  <c r="U8" i="4"/>
  <c r="P8" i="4"/>
  <c r="M8" i="4"/>
  <c r="J8" i="4"/>
  <c r="S8" i="4" s="1"/>
  <c r="W7" i="4"/>
  <c r="V7" i="4"/>
  <c r="J7" i="4"/>
  <c r="Q7" i="4" s="1"/>
  <c r="W6" i="4"/>
  <c r="V6" i="4"/>
  <c r="U6" i="4"/>
  <c r="T6" i="4"/>
  <c r="Q6" i="4"/>
  <c r="P6" i="4"/>
  <c r="O6" i="4"/>
  <c r="N6" i="4"/>
  <c r="M6" i="4"/>
  <c r="L6" i="4"/>
  <c r="J6" i="4"/>
  <c r="S6" i="4" s="1"/>
  <c r="W5" i="4"/>
  <c r="V5" i="4"/>
  <c r="U5" i="4"/>
  <c r="T5" i="4"/>
  <c r="S5" i="4"/>
  <c r="R5" i="4"/>
  <c r="O5" i="4"/>
  <c r="N5" i="4"/>
  <c r="J5" i="4"/>
  <c r="M5" i="4" s="1"/>
  <c r="V4" i="4"/>
  <c r="U4" i="4"/>
  <c r="T4" i="4"/>
  <c r="S4" i="4"/>
  <c r="R4" i="4"/>
  <c r="Q4" i="4"/>
  <c r="P4" i="4"/>
  <c r="M4" i="4"/>
  <c r="L4" i="4"/>
  <c r="J4" i="4"/>
  <c r="J15" i="4" s="1"/>
  <c r="J21" i="5" s="1"/>
  <c r="L104" i="3"/>
  <c r="E19" i="2"/>
  <c r="D19" i="2"/>
  <c r="C19" i="2"/>
  <c r="E18" i="2"/>
  <c r="D18" i="2"/>
  <c r="C18" i="2"/>
  <c r="E17" i="2"/>
  <c r="D17" i="2"/>
  <c r="C17" i="2"/>
  <c r="F34" i="1"/>
  <c r="C34" i="1"/>
  <c r="C33" i="1"/>
  <c r="C32" i="1"/>
  <c r="F31" i="1"/>
  <c r="C31" i="1"/>
  <c r="F30" i="1"/>
  <c r="E30" i="1"/>
  <c r="G30" i="1" s="1"/>
  <c r="D30" i="1"/>
  <c r="C30" i="1"/>
  <c r="C29" i="1"/>
  <c r="C28" i="1"/>
  <c r="C27" i="1"/>
  <c r="C26" i="1"/>
  <c r="C25" i="1"/>
  <c r="C24" i="1"/>
  <c r="C35" i="1" s="1"/>
  <c r="F23" i="1"/>
  <c r="C23" i="1"/>
  <c r="K9" i="1"/>
  <c r="F19" i="1"/>
  <c r="J18" i="1"/>
  <c r="J17" i="1"/>
  <c r="F17" i="1"/>
  <c r="K13" i="1"/>
  <c r="G8" i="18"/>
  <c r="K12" i="1"/>
  <c r="G12" i="1"/>
  <c r="C12" i="1"/>
  <c r="C41" i="1"/>
  <c r="C40" i="1"/>
  <c r="C39" i="1"/>
  <c r="C38" i="1"/>
  <c r="J19" i="1"/>
  <c r="F18" i="1"/>
  <c r="J104" i="17" l="1"/>
  <c r="F35" i="1"/>
  <c r="H114" i="12"/>
  <c r="H107" i="12"/>
  <c r="F29" i="1"/>
  <c r="C7" i="19"/>
  <c r="H113" i="7"/>
  <c r="H112" i="7"/>
  <c r="H111" i="7"/>
  <c r="E24" i="1"/>
  <c r="G24" i="1" s="1"/>
  <c r="D24" i="1"/>
  <c r="H114" i="15"/>
  <c r="H107" i="15"/>
  <c r="F32" i="1"/>
  <c r="F25" i="1"/>
  <c r="H114" i="8"/>
  <c r="H107" i="8"/>
  <c r="D25" i="1"/>
  <c r="H113" i="8"/>
  <c r="H112" i="8"/>
  <c r="H111" i="8"/>
  <c r="E25" i="1"/>
  <c r="G25" i="1" s="1"/>
  <c r="C8" i="19"/>
  <c r="F24" i="1"/>
  <c r="H114" i="7"/>
  <c r="H107" i="7"/>
  <c r="E48" i="19"/>
  <c r="D48" i="19"/>
  <c r="H114" i="16"/>
  <c r="F33" i="1"/>
  <c r="H107" i="16"/>
  <c r="H113" i="12"/>
  <c r="H111" i="12"/>
  <c r="C12" i="19"/>
  <c r="E29" i="1"/>
  <c r="G29" i="1" s="1"/>
  <c r="D29" i="1"/>
  <c r="H112" i="10"/>
  <c r="H111" i="10"/>
  <c r="C10" i="19"/>
  <c r="E27" i="1"/>
  <c r="G27" i="1" s="1"/>
  <c r="D27" i="1"/>
  <c r="H113" i="10"/>
  <c r="H113" i="11"/>
  <c r="E28" i="1"/>
  <c r="G28" i="1" s="1"/>
  <c r="H112" i="11"/>
  <c r="D28" i="1"/>
  <c r="H111" i="11"/>
  <c r="C11" i="19"/>
  <c r="F28" i="1"/>
  <c r="H114" i="11"/>
  <c r="H107" i="11"/>
  <c r="G6" i="1"/>
  <c r="R7" i="4"/>
  <c r="T8" i="4"/>
  <c r="V9" i="4"/>
  <c r="V15" i="4" s="1"/>
  <c r="H110" i="16" s="1"/>
  <c r="H113" i="6"/>
  <c r="F17" i="19"/>
  <c r="H17" i="19" s="1"/>
  <c r="H114" i="10"/>
  <c r="H114" i="14"/>
  <c r="F14" i="19"/>
  <c r="H14" i="19" s="1"/>
  <c r="H114" i="6"/>
  <c r="C9" i="1"/>
  <c r="D23" i="1"/>
  <c r="E26" i="1"/>
  <c r="G26" i="1" s="1"/>
  <c r="N4" i="4"/>
  <c r="P5" i="4"/>
  <c r="P15" i="4" s="1"/>
  <c r="H110" i="10" s="1"/>
  <c r="R6" i="4"/>
  <c r="R15" i="4" s="1"/>
  <c r="H110" i="12" s="1"/>
  <c r="T7" i="4"/>
  <c r="T15" i="4" s="1"/>
  <c r="H110" i="14" s="1"/>
  <c r="L11" i="4"/>
  <c r="N12" i="4"/>
  <c r="X12" i="4" s="1"/>
  <c r="P13" i="4"/>
  <c r="R14" i="4"/>
  <c r="X14" i="4" s="1"/>
  <c r="H111" i="9"/>
  <c r="H111" i="13"/>
  <c r="F11" i="19"/>
  <c r="H11" i="19" s="1"/>
  <c r="D26" i="1"/>
  <c r="S7" i="4"/>
  <c r="S15" i="4" s="1"/>
  <c r="H110" i="13" s="1"/>
  <c r="W9" i="4"/>
  <c r="V8" i="4"/>
  <c r="G9" i="1"/>
  <c r="E23" i="1"/>
  <c r="G23" i="1" s="1"/>
  <c r="F26" i="1"/>
  <c r="O4" i="4"/>
  <c r="Q5" i="4"/>
  <c r="Q15" i="4" s="1"/>
  <c r="H110" i="11" s="1"/>
  <c r="U7" i="4"/>
  <c r="U15" i="4" s="1"/>
  <c r="H110" i="15" s="1"/>
  <c r="W8" i="4"/>
  <c r="M11" i="4"/>
  <c r="O12" i="4"/>
  <c r="Q13" i="4"/>
  <c r="H108" i="8"/>
  <c r="H112" i="9"/>
  <c r="H108" i="12"/>
  <c r="H112" i="13"/>
  <c r="H113" i="13"/>
  <c r="H114" i="9"/>
  <c r="H114" i="13"/>
  <c r="H114" i="17"/>
  <c r="L9" i="4"/>
  <c r="M9" i="4"/>
  <c r="Q11" i="4"/>
  <c r="H112" i="12"/>
  <c r="C6" i="19"/>
  <c r="C13" i="1"/>
  <c r="F27" i="1"/>
  <c r="L8" i="4"/>
  <c r="N9" i="4"/>
  <c r="R11" i="4"/>
  <c r="P20" i="5"/>
  <c r="H109" i="11"/>
  <c r="F9" i="19"/>
  <c r="H9" i="19" s="1"/>
  <c r="F6" i="19"/>
  <c r="O9" i="4"/>
  <c r="L7" i="4"/>
  <c r="L15" i="4" s="1"/>
  <c r="N8" i="4"/>
  <c r="P9" i="4"/>
  <c r="T11" i="4"/>
  <c r="W4" i="4"/>
  <c r="W15" i="4" s="1"/>
  <c r="H110" i="17" s="1"/>
  <c r="M7" i="4"/>
  <c r="M15" i="4" s="1"/>
  <c r="O8" i="4"/>
  <c r="Q9" i="4"/>
  <c r="U11" i="4"/>
  <c r="H108" i="6"/>
  <c r="N7" i="4"/>
  <c r="R9" i="4"/>
  <c r="H109" i="10"/>
  <c r="F13" i="19"/>
  <c r="H13" i="19" s="1"/>
  <c r="O7" i="4"/>
  <c r="Q8" i="4"/>
  <c r="S9" i="4"/>
  <c r="L5" i="4"/>
  <c r="P7" i="4"/>
  <c r="R8" i="4"/>
  <c r="T9" i="4"/>
  <c r="L13" i="4"/>
  <c r="H111" i="6"/>
  <c r="C12" i="18"/>
  <c r="C8" i="18"/>
  <c r="K6" i="1"/>
  <c r="G11" i="18"/>
  <c r="G9" i="18"/>
  <c r="F12" i="18"/>
  <c r="C11" i="18"/>
  <c r="C9" i="18"/>
  <c r="C10" i="18"/>
  <c r="K5" i="18"/>
  <c r="G10" i="18"/>
  <c r="B17" i="18" l="1"/>
  <c r="B20" i="18"/>
  <c r="B25" i="18"/>
  <c r="B16" i="18"/>
  <c r="B31" i="18"/>
  <c r="B21" i="18"/>
  <c r="B26" i="18"/>
  <c r="B18" i="18"/>
  <c r="B27" i="18"/>
  <c r="B24" i="18"/>
  <c r="B22" i="18"/>
  <c r="B23" i="18"/>
  <c r="B19" i="18"/>
  <c r="H110" i="7"/>
  <c r="M21" i="5"/>
  <c r="H110" i="6"/>
  <c r="G13" i="1"/>
  <c r="L21" i="5"/>
  <c r="X9" i="4"/>
  <c r="X4" i="4"/>
  <c r="N15" i="4"/>
  <c r="X5" i="4"/>
  <c r="X13" i="4"/>
  <c r="X8" i="4"/>
  <c r="O15" i="4"/>
  <c r="X6" i="4"/>
  <c r="X7" i="4"/>
  <c r="X11" i="4"/>
  <c r="I30" i="19"/>
  <c r="E28" i="19"/>
  <c r="H30" i="19"/>
  <c r="E46" i="19"/>
  <c r="I27" i="19"/>
  <c r="E25" i="19"/>
  <c r="H27" i="19"/>
  <c r="I32" i="19"/>
  <c r="E30" i="19"/>
  <c r="H6" i="19"/>
  <c r="H32" i="19"/>
  <c r="G22" i="19"/>
  <c r="I29" i="19"/>
  <c r="E27" i="19"/>
  <c r="H29" i="19"/>
  <c r="E32" i="19"/>
  <c r="I26" i="19"/>
  <c r="H26" i="19"/>
  <c r="I31" i="19"/>
  <c r="E29" i="19"/>
  <c r="H31" i="19"/>
  <c r="E18" i="19"/>
  <c r="I28" i="19"/>
  <c r="E26" i="19"/>
  <c r="H28" i="19"/>
  <c r="E31" i="19"/>
  <c r="I25" i="19"/>
  <c r="H25" i="19"/>
  <c r="F27" i="18"/>
  <c r="D27" i="18"/>
  <c r="E16" i="18"/>
  <c r="G19" i="18"/>
  <c r="E18" i="18"/>
  <c r="G27" i="18"/>
  <c r="E31" i="18"/>
  <c r="C23" i="18"/>
  <c r="H18" i="18"/>
  <c r="H25" i="18"/>
  <c r="H20" i="18"/>
  <c r="E25" i="18"/>
  <c r="F23" i="18"/>
  <c r="I23" i="18"/>
  <c r="J21" i="18"/>
  <c r="J23" i="18"/>
  <c r="E24" i="18"/>
  <c r="F25" i="18"/>
  <c r="H16" i="18"/>
  <c r="J16" i="18"/>
  <c r="D21" i="18"/>
  <c r="J22" i="18"/>
  <c r="C22" i="18"/>
  <c r="J18" i="18"/>
  <c r="I18" i="18"/>
  <c r="J25" i="18"/>
  <c r="J24" i="18"/>
  <c r="D23" i="18"/>
  <c r="D24" i="18"/>
  <c r="G22" i="18"/>
  <c r="J20" i="18"/>
  <c r="D16" i="18"/>
  <c r="G23" i="18"/>
  <c r="H19" i="18"/>
  <c r="G17" i="18"/>
  <c r="I20" i="18"/>
  <c r="E17" i="18"/>
  <c r="E27" i="18"/>
  <c r="E20" i="18"/>
  <c r="F19" i="18"/>
  <c r="G18" i="18"/>
  <c r="J27" i="18"/>
  <c r="D19" i="18"/>
  <c r="G24" i="18"/>
  <c r="I24" i="18"/>
  <c r="H31" i="18"/>
  <c r="H23" i="18"/>
  <c r="E21" i="18"/>
  <c r="I16" i="18"/>
  <c r="E19" i="18"/>
  <c r="H29" i="18"/>
  <c r="H17" i="18"/>
  <c r="E26" i="18"/>
  <c r="C17" i="18"/>
  <c r="I29" i="18"/>
  <c r="C16" i="18"/>
  <c r="J26" i="18"/>
  <c r="D25" i="18"/>
  <c r="F17" i="18"/>
  <c r="E23" i="18"/>
  <c r="J19" i="18"/>
  <c r="F18" i="18"/>
  <c r="D20" i="18"/>
  <c r="H22" i="18"/>
  <c r="F26" i="18"/>
  <c r="I19" i="18"/>
  <c r="G21" i="18"/>
  <c r="F16" i="18"/>
  <c r="C20" i="18"/>
  <c r="F22" i="18"/>
  <c r="G20" i="18"/>
  <c r="E22" i="18"/>
  <c r="F24" i="18"/>
  <c r="I26" i="18"/>
  <c r="I25" i="18"/>
  <c r="C26" i="18"/>
  <c r="I27" i="18"/>
  <c r="G26" i="18"/>
  <c r="G29" i="18"/>
  <c r="G16" i="18"/>
  <c r="D22" i="18"/>
  <c r="D17" i="18"/>
  <c r="G25" i="18"/>
  <c r="D26" i="18"/>
  <c r="I21" i="18"/>
  <c r="I17" i="18"/>
  <c r="C24" i="18"/>
  <c r="J17" i="18"/>
  <c r="C18" i="18"/>
  <c r="H24" i="18"/>
  <c r="H21" i="18"/>
  <c r="C19" i="18"/>
  <c r="C25" i="18"/>
  <c r="H27" i="18"/>
  <c r="F20" i="18"/>
  <c r="C27" i="18"/>
  <c r="I22" i="18"/>
  <c r="H26" i="18"/>
  <c r="D18" i="18"/>
  <c r="F21" i="18"/>
  <c r="C21" i="18"/>
  <c r="J29" i="18" l="1"/>
  <c r="O21" i="5"/>
  <c r="P21" i="5" s="1"/>
  <c r="H110" i="9"/>
  <c r="H110" i="8"/>
  <c r="N21" i="5"/>
  <c r="X15" i="4"/>
  <c r="C14" i="19"/>
  <c r="H111" i="14"/>
  <c r="E31" i="1"/>
  <c r="G31" i="1" s="1"/>
  <c r="D31" i="1"/>
  <c r="H113" i="14"/>
  <c r="H112" i="14"/>
  <c r="D32" i="1"/>
  <c r="H113" i="15"/>
  <c r="H112" i="15"/>
  <c r="H111" i="15"/>
  <c r="C15" i="19"/>
  <c r="E32" i="1"/>
  <c r="G32" i="1" s="1"/>
  <c r="D35" i="1" l="1"/>
  <c r="E35" i="1" s="1"/>
  <c r="C16" i="19"/>
  <c r="H113" i="16"/>
  <c r="H112" i="16"/>
  <c r="H111" i="16"/>
  <c r="E33" i="1"/>
  <c r="G33" i="1" s="1"/>
  <c r="D33" i="1"/>
  <c r="C17" i="19"/>
  <c r="E34" i="1"/>
  <c r="G34" i="1" s="1"/>
  <c r="H113" i="17"/>
  <c r="H111" i="17"/>
  <c r="D34" i="1"/>
  <c r="H112" i="17"/>
  <c r="G13" i="19"/>
  <c r="E13" i="19"/>
  <c r="H18" i="19"/>
  <c r="F18" i="19"/>
  <c r="G15" i="19"/>
  <c r="E15" i="19"/>
  <c r="E14" i="19"/>
  <c r="G14" i="19"/>
  <c r="E9" i="19"/>
  <c r="G9" i="19"/>
  <c r="G18" i="19"/>
  <c r="G6" i="19"/>
  <c r="I22" i="19"/>
  <c r="E11" i="19"/>
  <c r="G11" i="19"/>
  <c r="G12" i="19"/>
  <c r="E12" i="19"/>
  <c r="E6" i="19"/>
  <c r="E22" i="19"/>
  <c r="E10" i="19"/>
  <c r="G10" i="19"/>
  <c r="E16" i="19"/>
  <c r="G16" i="19"/>
  <c r="E17" i="19"/>
  <c r="G17" i="19"/>
  <c r="E7" i="19"/>
  <c r="G7" i="19"/>
  <c r="E8" i="19"/>
  <c r="G8" i="19"/>
</calcChain>
</file>

<file path=xl/sharedStrings.xml><?xml version="1.0" encoding="utf-8"?>
<sst xmlns="http://schemas.openxmlformats.org/spreadsheetml/2006/main" count="3532" uniqueCount="511">
  <si>
    <t>📊 داشبورد الكنترول المالي الشامل – الحضانة ومركز التوحد</t>
  </si>
  <si>
    <t xml:space="preserve">  ← اختر الشهر للعرض</t>
  </si>
  <si>
    <t>يناير</t>
  </si>
  <si>
    <t>💡  غيّر الشهر في الخانة الصفراء — الداشبورد يتحدث تلقائياً</t>
  </si>
  <si>
    <t xml:space="preserve">  ▶  🎯 حاسبة التارجت – كم محتاج تجيب عشان تكسب؟</t>
  </si>
  <si>
    <t>💸 إجمالي المصروفات
(تشغيل + رواتب)</t>
  </si>
  <si>
    <t>🎯 التارجت المطلوب
(بنسبة الربح المستهدفة)</t>
  </si>
  <si>
    <t>📉 الفجوة
(التارجت – المحصّل)</t>
  </si>
  <si>
    <t xml:space="preserve">  ▶    عشان توصل للتارجت محتاج →</t>
  </si>
  <si>
    <t>🏥 طفل حضانة</t>
  </si>
  <si>
    <t>🏠 يوم استضافة</t>
  </si>
  <si>
    <t>🩺 جلسة</t>
  </si>
  <si>
    <t xml:space="preserve">  ▶  📊 أداء الشهر المختار</t>
  </si>
  <si>
    <t>💰 إجمالي الفواتير (المستحق)</t>
  </si>
  <si>
    <t>✅ إجمالي المحصّل</t>
  </si>
  <si>
    <t>❌ متأخرات غير محصّلة</t>
  </si>
  <si>
    <t>💸 مصروفات تشغيلية</t>
  </si>
  <si>
    <t>👔 رواتب الشهر</t>
  </si>
  <si>
    <t>📊 نسبة التحصيل</t>
  </si>
  <si>
    <t xml:space="preserve">  ▶  🏷️ تفصيل الإيرادات حسب الخدمة</t>
  </si>
  <si>
    <t>الخدمة</t>
  </si>
  <si>
    <t>عدد الأطفال</t>
  </si>
  <si>
    <t>المحصّل (ج.م)</t>
  </si>
  <si>
    <t>🏥 حضانة</t>
  </si>
  <si>
    <t>🏠 استضافة</t>
  </si>
  <si>
    <t xml:space="preserve">  ▶  📅 ملخص الـ 12 شهر</t>
  </si>
  <si>
    <t>الشهر</t>
  </si>
  <si>
    <t>المحصّل</t>
  </si>
  <si>
    <t>مصروفات+رواتب</t>
  </si>
  <si>
    <t>صافي الربح</t>
  </si>
  <si>
    <t>نسبة التحصيل</t>
  </si>
  <si>
    <t>الحالة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</si>
  <si>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</si>
  <si>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</si>
  <si>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</si>
  <si>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</si>
  <si>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</si>
  <si>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</si>
  <si>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</si>
  <si>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</si>
  <si>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</si>
  <si>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</si>
  <si>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</si>
  <si>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إجمالي السنة</t>
  </si>
  <si>
    <t xml:space="preserve">  ▶  🔔 تنبيهات ذكية</t>
  </si>
  <si>
    <t>هل وصلت للتارجت؟</t>
  </si>
  <si>
    <t>الوضع المالي للشهر</t>
  </si>
  <si>
    <t>متأخرات تحتاج متابعة</t>
  </si>
  <si>
    <t>⚙️ الإعدادات – أسعار الخدمات والأهداف المالية</t>
  </si>
  <si>
    <t xml:space="preserve">  💡  الخلايا الصفراء فقط قابلة للتعديل — غيّر الأسعار وكل الشيتات تتحدث تلقائياً</t>
  </si>
  <si>
    <t>⏱️ بالساعة (ج.م)</t>
  </si>
  <si>
    <t>📅 باليوم (ج.م)</t>
  </si>
  <si>
    <t>🗓️ بالشهر (ج.م)</t>
  </si>
  <si>
    <t xml:space="preserve">  🏫 حضانة</t>
  </si>
  <si>
    <t xml:space="preserve">  🏠 استضافة</t>
  </si>
  <si>
    <t xml:space="preserve">  🩺 جلسة علاج</t>
  </si>
  <si>
    <t xml:space="preserve">  ▶  أهداف الربحية والطاقة الاستيعابية</t>
  </si>
  <si>
    <t>نسبة الربح المستهدفة %</t>
  </si>
  <si>
    <t>أقصى طاقة استيعابية (طفل)</t>
  </si>
  <si>
    <t>عدد أيام العمل في الشهر</t>
  </si>
  <si>
    <t>عدد ساعات العمل في اليوم</t>
  </si>
  <si>
    <t xml:space="preserve">  ▶  جدول مرجعي تلقائي – السعر اليومي والشهري المحسوب</t>
  </si>
  <si>
    <t>ساعة × أيام/شهر × ساعات/يوم</t>
  </si>
  <si>
    <t>يوم × أيام/شهر</t>
  </si>
  <si>
    <t>شهر (مباشر)</t>
  </si>
  <si>
    <t xml:space="preserve">  🔒  كلمة السر (لفك الحماية)</t>
  </si>
  <si>
    <t>1234</t>
  </si>
  <si>
    <t>👶 بيانات الأطفال – 100 طفل</t>
  </si>
  <si>
    <t>#</t>
  </si>
  <si>
    <t>اسم الطفل</t>
  </si>
  <si>
    <t>اسم ولي الأمر</t>
  </si>
  <si>
    <t>رقم هاتف ولي الأمر</t>
  </si>
  <si>
    <t>رقم هاتف الطفل/الطفلة</t>
  </si>
  <si>
    <t>الرقم القومي</t>
  </si>
  <si>
    <t>الوحدة</t>
  </si>
  <si>
    <t>السعر (ج.م)</t>
  </si>
  <si>
    <t>تاريخ التسجيل</t>
  </si>
  <si>
    <t>ملاحظات</t>
  </si>
  <si>
    <t>أحمد محمد</t>
  </si>
  <si>
    <t>ولي أمر 1</t>
  </si>
  <si>
    <t>01000000001</t>
  </si>
  <si>
    <t>20000000000000</t>
  </si>
  <si>
    <t>حضانة</t>
  </si>
  <si>
    <t>شهر</t>
  </si>
  <si>
    <t>فاطمة علي</t>
  </si>
  <si>
    <t>ولي أمر 2</t>
  </si>
  <si>
    <t>01000000002</t>
  </si>
  <si>
    <t>عمر خالد</t>
  </si>
  <si>
    <t>ولي أمر 3</t>
  </si>
  <si>
    <t>01000000003</t>
  </si>
  <si>
    <t>جلسة</t>
  </si>
  <si>
    <t>نور السيد</t>
  </si>
  <si>
    <t>ولي أمر 4</t>
  </si>
  <si>
    <t>01000000004</t>
  </si>
  <si>
    <t>استضافة</t>
  </si>
  <si>
    <t>يوم</t>
  </si>
  <si>
    <t>مريم إبراهيم</t>
  </si>
  <si>
    <t>ولي أمر 5</t>
  </si>
  <si>
    <t>01000000005</t>
  </si>
  <si>
    <t>يوسف حسن</t>
  </si>
  <si>
    <t>ولي أمر 6</t>
  </si>
  <si>
    <t>01000000006</t>
  </si>
  <si>
    <t>سارة أحمد</t>
  </si>
  <si>
    <t>ولي أمر 7</t>
  </si>
  <si>
    <t>01000000007</t>
  </si>
  <si>
    <t>كريم محمود</t>
  </si>
  <si>
    <t>ولي أمر 8</t>
  </si>
  <si>
    <t>01000000008</t>
  </si>
  <si>
    <t>لينا طارق</t>
  </si>
  <si>
    <t>ولي أمر 9</t>
  </si>
  <si>
    <t>01000000009</t>
  </si>
  <si>
    <t>جنى وليد</t>
  </si>
  <si>
    <t>ولي أمر 10</t>
  </si>
  <si>
    <t>01000000010</t>
  </si>
  <si>
    <t>20000000000001</t>
  </si>
  <si>
    <t>زياد عمر</t>
  </si>
  <si>
    <t>ولي أمر 11</t>
  </si>
  <si>
    <t>01000000011</t>
  </si>
  <si>
    <t>ريم ناصر</t>
  </si>
  <si>
    <t>ولي أمر 12</t>
  </si>
  <si>
    <t>01000000012</t>
  </si>
  <si>
    <t>آدم مصطفى</t>
  </si>
  <si>
    <t>ولي أمر 13</t>
  </si>
  <si>
    <t>01000000013</t>
  </si>
  <si>
    <t>هنا كمال</t>
  </si>
  <si>
    <t>ولي أمر 14</t>
  </si>
  <si>
    <t>01000000014</t>
  </si>
  <si>
    <t>تامر رشاد</t>
  </si>
  <si>
    <t>ولي أمر 15</t>
  </si>
  <si>
    <t>01000000015</t>
  </si>
  <si>
    <t>دينا سامي</t>
  </si>
  <si>
    <t>ولي أمر 16</t>
  </si>
  <si>
    <t>01000000016</t>
  </si>
  <si>
    <t>باسل فاروق</t>
  </si>
  <si>
    <t>ولي أمر 17</t>
  </si>
  <si>
    <t>01000000017</t>
  </si>
  <si>
    <t>ياسمين عادل</t>
  </si>
  <si>
    <t>ولي أمر 18</t>
  </si>
  <si>
    <t>01000000018</t>
  </si>
  <si>
    <t>منة الله جمال</t>
  </si>
  <si>
    <t>ولي أمر 19</t>
  </si>
  <si>
    <t>01000000019</t>
  </si>
  <si>
    <t>حسن علاء</t>
  </si>
  <si>
    <t>ولي أمر 20</t>
  </si>
  <si>
    <t>01000000020</t>
  </si>
  <si>
    <t>20000000000002</t>
  </si>
  <si>
    <t>أحمد محمد 21</t>
  </si>
  <si>
    <t>ولي أمر 21</t>
  </si>
  <si>
    <t>01000000021</t>
  </si>
  <si>
    <t>فاطمة علي 22</t>
  </si>
  <si>
    <t>ولي أمر 22</t>
  </si>
  <si>
    <t>01000000022</t>
  </si>
  <si>
    <t>عمر خالد 23</t>
  </si>
  <si>
    <t>ولي أمر 23</t>
  </si>
  <si>
    <t>01000000023</t>
  </si>
  <si>
    <t>نور السيد 24</t>
  </si>
  <si>
    <t>ولي أمر 24</t>
  </si>
  <si>
    <t>01000000024</t>
  </si>
  <si>
    <t>مريم إبراهيم 25</t>
  </si>
  <si>
    <t>ولي أمر 25</t>
  </si>
  <si>
    <t>01000000025</t>
  </si>
  <si>
    <t>يوسف حسن 26</t>
  </si>
  <si>
    <t>ولي أمر 26</t>
  </si>
  <si>
    <t>01000000026</t>
  </si>
  <si>
    <t>سارة أحمد 27</t>
  </si>
  <si>
    <t>ولي أمر 27</t>
  </si>
  <si>
    <t>01000000027</t>
  </si>
  <si>
    <t>كريم محمود 28</t>
  </si>
  <si>
    <t>ولي أمر 28</t>
  </si>
  <si>
    <t>01000000028</t>
  </si>
  <si>
    <t>لينا طارق 29</t>
  </si>
  <si>
    <t>ولي أمر 29</t>
  </si>
  <si>
    <t>01000000029</t>
  </si>
  <si>
    <t>جنى وليد 30</t>
  </si>
  <si>
    <t>ولي أمر 30</t>
  </si>
  <si>
    <t>01000000030</t>
  </si>
  <si>
    <t>20000000000003</t>
  </si>
  <si>
    <t>زياد عمر 31</t>
  </si>
  <si>
    <t>ولي أمر 31</t>
  </si>
  <si>
    <t>01000000031</t>
  </si>
  <si>
    <t>ريم ناصر 32</t>
  </si>
  <si>
    <t>ولي أمر 32</t>
  </si>
  <si>
    <t>01000000032</t>
  </si>
  <si>
    <t>آدم مصطفى 33</t>
  </si>
  <si>
    <t>ولي أمر 33</t>
  </si>
  <si>
    <t>01000000033</t>
  </si>
  <si>
    <t>هنا كمال 34</t>
  </si>
  <si>
    <t>ولي أمر 34</t>
  </si>
  <si>
    <t>01000000034</t>
  </si>
  <si>
    <t>تامر رشاد 35</t>
  </si>
  <si>
    <t>ولي أمر 35</t>
  </si>
  <si>
    <t>01000000035</t>
  </si>
  <si>
    <t>دينا سامي 36</t>
  </si>
  <si>
    <t>ولي أمر 36</t>
  </si>
  <si>
    <t>01000000036</t>
  </si>
  <si>
    <t>باسل فاروق 37</t>
  </si>
  <si>
    <t>ولي أمر 37</t>
  </si>
  <si>
    <t>01000000037</t>
  </si>
  <si>
    <t>ياسمين عادل 38</t>
  </si>
  <si>
    <t>ولي أمر 38</t>
  </si>
  <si>
    <t>01000000038</t>
  </si>
  <si>
    <t>منة الله جمال 39</t>
  </si>
  <si>
    <t>ولي أمر 39</t>
  </si>
  <si>
    <t>01000000039</t>
  </si>
  <si>
    <t>حسن علاء 40</t>
  </si>
  <si>
    <t>ولي أمر 40</t>
  </si>
  <si>
    <t>01000000040</t>
  </si>
  <si>
    <t>20000000000004</t>
  </si>
  <si>
    <t>أحمد محمد 41</t>
  </si>
  <si>
    <t>ولي أمر 41</t>
  </si>
  <si>
    <t>01000000041</t>
  </si>
  <si>
    <t>فاطمة علي 42</t>
  </si>
  <si>
    <t>ولي أمر 42</t>
  </si>
  <si>
    <t>01000000042</t>
  </si>
  <si>
    <t>عمر خالد 43</t>
  </si>
  <si>
    <t>ولي أمر 43</t>
  </si>
  <si>
    <t>01000000043</t>
  </si>
  <si>
    <t>نور السيد 44</t>
  </si>
  <si>
    <t>ولي أمر 44</t>
  </si>
  <si>
    <t>01000000044</t>
  </si>
  <si>
    <t>مريم إبراهيم 45</t>
  </si>
  <si>
    <t>ولي أمر 45</t>
  </si>
  <si>
    <t>01000000045</t>
  </si>
  <si>
    <t>يوسف حسن 46</t>
  </si>
  <si>
    <t>ولي أمر 46</t>
  </si>
  <si>
    <t>01000000046</t>
  </si>
  <si>
    <t>سارة أحمد 47</t>
  </si>
  <si>
    <t>ولي أمر 47</t>
  </si>
  <si>
    <t>01000000047</t>
  </si>
  <si>
    <t>كريم محمود 48</t>
  </si>
  <si>
    <t>ولي أمر 48</t>
  </si>
  <si>
    <t>01000000048</t>
  </si>
  <si>
    <t>لينا طارق 49</t>
  </si>
  <si>
    <t>ولي أمر 49</t>
  </si>
  <si>
    <t>01000000049</t>
  </si>
  <si>
    <t>جنى وليد 50</t>
  </si>
  <si>
    <t>ولي أمر 50</t>
  </si>
  <si>
    <t>01000000050</t>
  </si>
  <si>
    <t>20000000000005</t>
  </si>
  <si>
    <t>زياد عمر 51</t>
  </si>
  <si>
    <t>ولي أمر 51</t>
  </si>
  <si>
    <t>01000000051</t>
  </si>
  <si>
    <t>ريم ناصر 52</t>
  </si>
  <si>
    <t>ولي أمر 52</t>
  </si>
  <si>
    <t>01000000052</t>
  </si>
  <si>
    <t>آدم مصطفى 53</t>
  </si>
  <si>
    <t>ولي أمر 53</t>
  </si>
  <si>
    <t>01000000053</t>
  </si>
  <si>
    <t>هنا كمال 54</t>
  </si>
  <si>
    <t>ولي أمر 54</t>
  </si>
  <si>
    <t>01000000054</t>
  </si>
  <si>
    <t>تامر رشاد 55</t>
  </si>
  <si>
    <t>ولي أمر 55</t>
  </si>
  <si>
    <t>01000000055</t>
  </si>
  <si>
    <t>دينا سامي 56</t>
  </si>
  <si>
    <t>ولي أمر 56</t>
  </si>
  <si>
    <t>01000000056</t>
  </si>
  <si>
    <t>باسل فاروق 57</t>
  </si>
  <si>
    <t>ولي أمر 57</t>
  </si>
  <si>
    <t>01000000057</t>
  </si>
  <si>
    <t>ياسمين عادل 58</t>
  </si>
  <si>
    <t>ولي أمر 58</t>
  </si>
  <si>
    <t>01000000058</t>
  </si>
  <si>
    <t>منة الله جمال 59</t>
  </si>
  <si>
    <t>ولي أمر 59</t>
  </si>
  <si>
    <t>01000000059</t>
  </si>
  <si>
    <t>حسن علاء 60</t>
  </si>
  <si>
    <t>ولي أمر 60</t>
  </si>
  <si>
    <t>01000000060</t>
  </si>
  <si>
    <t>20000000000006</t>
  </si>
  <si>
    <t>أحمد محمد 61</t>
  </si>
  <si>
    <t>ولي أمر 61</t>
  </si>
  <si>
    <t>01000000061</t>
  </si>
  <si>
    <t>فاطمة علي 62</t>
  </si>
  <si>
    <t>ولي أمر 62</t>
  </si>
  <si>
    <t>01000000062</t>
  </si>
  <si>
    <t>عمر خالد 63</t>
  </si>
  <si>
    <t>ولي أمر 63</t>
  </si>
  <si>
    <t>01000000063</t>
  </si>
  <si>
    <t>نور السيد 64</t>
  </si>
  <si>
    <t>ولي أمر 64</t>
  </si>
  <si>
    <t>01000000064</t>
  </si>
  <si>
    <t>مريم إبراهيم 65</t>
  </si>
  <si>
    <t>ولي أمر 65</t>
  </si>
  <si>
    <t>01000000065</t>
  </si>
  <si>
    <t>يوسف حسن 66</t>
  </si>
  <si>
    <t>ولي أمر 66</t>
  </si>
  <si>
    <t>01000000066</t>
  </si>
  <si>
    <t>سارة أحمد 67</t>
  </si>
  <si>
    <t>ولي أمر 67</t>
  </si>
  <si>
    <t>01000000067</t>
  </si>
  <si>
    <t>كريم محمود 68</t>
  </si>
  <si>
    <t>ولي أمر 68</t>
  </si>
  <si>
    <t>01000000068</t>
  </si>
  <si>
    <t>لينا طارق 69</t>
  </si>
  <si>
    <t>ولي أمر 69</t>
  </si>
  <si>
    <t>01000000069</t>
  </si>
  <si>
    <t>جنى وليد 70</t>
  </si>
  <si>
    <t>ولي أمر 70</t>
  </si>
  <si>
    <t>01000000070</t>
  </si>
  <si>
    <t>20000000000007</t>
  </si>
  <si>
    <t>زياد عمر 71</t>
  </si>
  <si>
    <t>ولي أمر 71</t>
  </si>
  <si>
    <t>01000000071</t>
  </si>
  <si>
    <t>ريم ناصر 72</t>
  </si>
  <si>
    <t>ولي أمر 72</t>
  </si>
  <si>
    <t>01000000072</t>
  </si>
  <si>
    <t>آدم مصطفى 73</t>
  </si>
  <si>
    <t>ولي أمر 73</t>
  </si>
  <si>
    <t>01000000073</t>
  </si>
  <si>
    <t>هنا كمال 74</t>
  </si>
  <si>
    <t>ولي أمر 74</t>
  </si>
  <si>
    <t>01000000074</t>
  </si>
  <si>
    <t>تامر رشاد 75</t>
  </si>
  <si>
    <t>ولي أمر 75</t>
  </si>
  <si>
    <t>01000000075</t>
  </si>
  <si>
    <t>دينا سامي 76</t>
  </si>
  <si>
    <t>ولي أمر 76</t>
  </si>
  <si>
    <t>01000000076</t>
  </si>
  <si>
    <t>باسل فاروق 77</t>
  </si>
  <si>
    <t>ولي أمر 77</t>
  </si>
  <si>
    <t>01000000077</t>
  </si>
  <si>
    <t>ياسمين عادل 78</t>
  </si>
  <si>
    <t>ولي أمر 78</t>
  </si>
  <si>
    <t>01000000078</t>
  </si>
  <si>
    <t>منة الله جمال 79</t>
  </si>
  <si>
    <t>ولي أمر 79</t>
  </si>
  <si>
    <t>01000000079</t>
  </si>
  <si>
    <t>حسن علاء 80</t>
  </si>
  <si>
    <t>ولي أمر 80</t>
  </si>
  <si>
    <t>01000000080</t>
  </si>
  <si>
    <t>20000000000008</t>
  </si>
  <si>
    <t>أحمد محمد 81</t>
  </si>
  <si>
    <t>ولي أمر 81</t>
  </si>
  <si>
    <t>01000000081</t>
  </si>
  <si>
    <t>فاطمة علي 82</t>
  </si>
  <si>
    <t>ولي أمر 82</t>
  </si>
  <si>
    <t>01000000082</t>
  </si>
  <si>
    <t>عمر خالد 83</t>
  </si>
  <si>
    <t>ولي أمر 83</t>
  </si>
  <si>
    <t>01000000083</t>
  </si>
  <si>
    <t>نور السيد 84</t>
  </si>
  <si>
    <t>ولي أمر 84</t>
  </si>
  <si>
    <t>01000000084</t>
  </si>
  <si>
    <t>مريم إبراهيم 85</t>
  </si>
  <si>
    <t>ولي أمر 85</t>
  </si>
  <si>
    <t>01000000085</t>
  </si>
  <si>
    <t>يوسف حسن 86</t>
  </si>
  <si>
    <t>ولي أمر 86</t>
  </si>
  <si>
    <t>01000000086</t>
  </si>
  <si>
    <t>سارة أحمد 87</t>
  </si>
  <si>
    <t>ولي أمر 87</t>
  </si>
  <si>
    <t>01000000087</t>
  </si>
  <si>
    <t>كريم محمود 88</t>
  </si>
  <si>
    <t>ولي أمر 88</t>
  </si>
  <si>
    <t>01000000088</t>
  </si>
  <si>
    <t>لينا طارق 89</t>
  </si>
  <si>
    <t>ولي أمر 89</t>
  </si>
  <si>
    <t>01000000089</t>
  </si>
  <si>
    <t>جنى وليد 90</t>
  </si>
  <si>
    <t>ولي أمر 90</t>
  </si>
  <si>
    <t>01000000090</t>
  </si>
  <si>
    <t>20000000000009</t>
  </si>
  <si>
    <t>زياد عمر 91</t>
  </si>
  <si>
    <t>ولي أمر 91</t>
  </si>
  <si>
    <t>01000000091</t>
  </si>
  <si>
    <t>ريم ناصر 92</t>
  </si>
  <si>
    <t>ولي أمر 92</t>
  </si>
  <si>
    <t>01000000092</t>
  </si>
  <si>
    <t>آدم مصطفى 93</t>
  </si>
  <si>
    <t>ولي أمر 93</t>
  </si>
  <si>
    <t>01000000093</t>
  </si>
  <si>
    <t>هنا كمال 94</t>
  </si>
  <si>
    <t>ولي أمر 94</t>
  </si>
  <si>
    <t>01000000094</t>
  </si>
  <si>
    <t>تامر رشاد 95</t>
  </si>
  <si>
    <t>ولي أمر 95</t>
  </si>
  <si>
    <t>01000000095</t>
  </si>
  <si>
    <t>دينا سامي 96</t>
  </si>
  <si>
    <t>ولي أمر 96</t>
  </si>
  <si>
    <t>01000000096</t>
  </si>
  <si>
    <t>باسل فاروق 97</t>
  </si>
  <si>
    <t>ولي أمر 97</t>
  </si>
  <si>
    <t>01000000097</t>
  </si>
  <si>
    <t>ياسمين عادل 98</t>
  </si>
  <si>
    <t>ولي أمر 98</t>
  </si>
  <si>
    <t>01000000098</t>
  </si>
  <si>
    <t>منة الله جمال 99</t>
  </si>
  <si>
    <t>ولي أمر 99</t>
  </si>
  <si>
    <t>01000000099</t>
  </si>
  <si>
    <t>حسن علاء 100</t>
  </si>
  <si>
    <t>ولي أمر 100</t>
  </si>
  <si>
    <t>01000000100</t>
  </si>
  <si>
    <t>20000000000010</t>
  </si>
  <si>
    <t xml:space="preserve">  إجمالي الأطفال المسجلين</t>
  </si>
  <si>
    <t>👔 شيت الرواتب – 11 موظف (10 موظفات + مدير)</t>
  </si>
  <si>
    <t>الاسم</t>
  </si>
  <si>
    <t>الوظيفة</t>
  </si>
  <si>
    <t>الراتب الأساسي
(ج.م)</t>
  </si>
  <si>
    <t>بدل سكن
(ج.م)</t>
  </si>
  <si>
    <t>بدل مواصلات
(ج.م)</t>
  </si>
  <si>
    <t>حوافز
(ج.م)</t>
  </si>
  <si>
    <t>خصومات
(ج.م)</t>
  </si>
  <si>
    <t>صافي الراتب
(ج.م)</t>
  </si>
  <si>
    <t>إجمالي السنة
(ج.م)</t>
  </si>
  <si>
    <t>مدير</t>
  </si>
  <si>
    <t>المدير</t>
  </si>
  <si>
    <t>موظفة 1</t>
  </si>
  <si>
    <t>معلمة حضانة</t>
  </si>
  <si>
    <t>موظفة 2</t>
  </si>
  <si>
    <t>موظفة 3</t>
  </si>
  <si>
    <t>موظفة 4</t>
  </si>
  <si>
    <t>معالجة توحد</t>
  </si>
  <si>
    <t>موظفة 5</t>
  </si>
  <si>
    <t>موظفة 6</t>
  </si>
  <si>
    <t>أخصائية نفسية</t>
  </si>
  <si>
    <t>موظفة 7</t>
  </si>
  <si>
    <t>موظفة إدارية</t>
  </si>
  <si>
    <t>موظفة 8</t>
  </si>
  <si>
    <t>مساعدة معلمة</t>
  </si>
  <si>
    <t>موظفة 9</t>
  </si>
  <si>
    <t>موظفة 10</t>
  </si>
  <si>
    <t>فراشة / خدمات</t>
  </si>
  <si>
    <t xml:space="preserve">  إجمالي الرواتب الشهرية</t>
  </si>
  <si>
    <t xml:space="preserve">  💡  الخلايا الصفراء في الأشهر: تقدر تغير مبلغ الراتب الفعلي المدفوع لأي موظف في أي شهر (الافتراضي = صافي الراتب)</t>
  </si>
  <si>
    <t>💸 المصروفات التشغيلية – تفصيل شهري</t>
  </si>
  <si>
    <t>بند المصروف</t>
  </si>
  <si>
    <t>إيجار المبنى</t>
  </si>
  <si>
    <t>فاتورة كهرباء</t>
  </si>
  <si>
    <t>فاتورة مياه</t>
  </si>
  <si>
    <t>إنترنت وتليفون</t>
  </si>
  <si>
    <t>مواد تعليمية وقرطاسية</t>
  </si>
  <si>
    <t>مواد طبية / أدوية إسعافات</t>
  </si>
  <si>
    <t>تسويق وإعلان (سوشيال ميديا)</t>
  </si>
  <si>
    <t>صيانة وإصلاحات</t>
  </si>
  <si>
    <t>مواصلات ومشتريات</t>
  </si>
  <si>
    <t>ضيافة وأدوات نظافة</t>
  </si>
  <si>
    <t>متفرقات أخرى</t>
  </si>
  <si>
    <t xml:space="preserve">  إجمالي المصروفات التشغيلية</t>
  </si>
  <si>
    <t xml:space="preserve">  إجمالي الكل (مصروفات + رواتب)</t>
  </si>
  <si>
    <t xml:space="preserve">  💡  الصف الأخير (الإجمالي الكل) = مصروفات تشغيلية + رواتب مجتمعة — هو اللي بيتحسب منه التارجت في الداشبورد</t>
  </si>
  <si>
    <t>📅 يناير – متابعة إيرادات الأطفال</t>
  </si>
  <si>
    <t>الكمية</t>
  </si>
  <si>
    <t>الإجمالي (ج.م)</t>
  </si>
  <si>
    <t>المدفوع (ج.م)</t>
  </si>
  <si>
    <t>الرصيد (ج.م)</t>
  </si>
  <si>
    <t xml:space="preserve">  ◀  إجمالي الشهر</t>
  </si>
  <si>
    <t xml:space="preserve">  ▶  📊 ملخص الشهر الفوري</t>
  </si>
  <si>
    <t xml:space="preserve">  💰 إجمالي الفواتير</t>
  </si>
  <si>
    <t xml:space="preserve">  ✅ المحصّل</t>
  </si>
  <si>
    <t xml:space="preserve">  💸 مصروفات تشغيلية</t>
  </si>
  <si>
    <t xml:space="preserve">  👔 رواتب الشهر</t>
  </si>
  <si>
    <t xml:space="preserve">  📊 إجمالي المصروفات</t>
  </si>
  <si>
    <t xml:space="preserve">  📈 صافي الربح</t>
  </si>
  <si>
    <t xml:space="preserve">  🎯 التارجت المطلوب</t>
  </si>
  <si>
    <t xml:space="preserve">  📊 نسبة التحصيل</t>
  </si>
  <si>
    <t>📅 فبراير – متابعة إيرادات الأطفال</t>
  </si>
  <si>
    <t>📅 مارس – متابعة إيرادات الأطفال</t>
  </si>
  <si>
    <t>📅 أبريل – متابعة إيرادات الأطفال</t>
  </si>
  <si>
    <t>📅 مايو – متابعة إيرادات الأطفال</t>
  </si>
  <si>
    <t>📅 يونيو – متابعة إيرادات الأطفال</t>
  </si>
  <si>
    <t>📅 يوليو – متابعة إيرادات الأطفال</t>
  </si>
  <si>
    <t>📅 أغسطس – متابعة إيرادات الأطفال</t>
  </si>
  <si>
    <t>📅 سبتمبر – متابعة إيرادات الأطفال</t>
  </si>
  <si>
    <t>📅 أكتوبر – متابعة إيرادات الأطفال</t>
  </si>
  <si>
    <t>📅 نوفمبر – متابعة إيرادات الأطفال</t>
  </si>
  <si>
    <t>📅 ديسمبر – متابعة إيرادات الأطفال</t>
  </si>
  <si>
    <t>📄  كشف حساب الطفل – من تاريخ التسجيل</t>
  </si>
  <si>
    <t xml:space="preserve">  💡  ابحث باسم الطفل (كامل أو جزء) · رقم هاتف الطفل · الرقم القومي · رقم هاتف ولي الأمر</t>
  </si>
  <si>
    <t xml:space="preserve">  🔍  اكتب هنا</t>
  </si>
  <si>
    <t xml:space="preserve">  ▶  بيانات الطفل الكاملة</t>
  </si>
  <si>
    <t xml:space="preserve">  👶 اسم الطفل</t>
  </si>
  <si>
    <t xml:space="preserve">  👨‍👩‍👧 ولي الأمر</t>
  </si>
  <si>
    <t xml:space="preserve">  📞 هاتف ولي الأمر</t>
  </si>
  <si>
    <t xml:space="preserve">  📱 هاتف الطفل</t>
  </si>
  <si>
    <t xml:space="preserve">  🪪 الرقم القومي</t>
  </si>
  <si>
    <t xml:space="preserve">  🏷️ الخدمة الأساسية</t>
  </si>
  <si>
    <t xml:space="preserve">  💰 السعر الأساسي</t>
  </si>
  <si>
    <t xml:space="preserve">  📅 تاريخ التسجيل</t>
  </si>
  <si>
    <t xml:space="preserve">  📝 ملاحظات</t>
  </si>
  <si>
    <t xml:space="preserve">  ▶  كشف الحساب التفصيلي – من تاريخ التسجيل</t>
  </si>
  <si>
    <t>🎯  تخطيط التارجت الشهري – اعرف المطلوب قبل ما تبدأ الشهر</t>
  </si>
  <si>
    <t xml:space="preserve">  💡  حدّد نسبة الربح المستهدفة لكل شهر في الخانات الصفراء — التارجت والاقتراحات بتتحسب تلقائياً</t>
  </si>
  <si>
    <t>إجمالي المصروفات
(مصروفات+رواتب)</t>
  </si>
  <si>
    <t>نسبة الربح
المستهدفة %</t>
  </si>
  <si>
    <t>التارجت
المطلوب (ج.م)</t>
  </si>
  <si>
    <t>المحصّل
الفعلي (ج.م)</t>
  </si>
  <si>
    <t>الفجوة
(ج.م)</t>
  </si>
  <si>
    <t xml:space="preserve">  ▶  اقتراحات ذكية – إزاي توصل للتارجت لكل شهر</t>
  </si>
  <si>
    <t xml:space="preserve">  اختر الشهر للاقتراحات</t>
  </si>
  <si>
    <t xml:space="preserve">  💡  الاقتراحات بتتغير تلقائياً حسب الشهر المختار والمصروفات المدخلة</t>
  </si>
  <si>
    <t xml:space="preserve">  إجمالي المصروفات</t>
  </si>
  <si>
    <t xml:space="preserve">  نسبة الربح</t>
  </si>
  <si>
    <t xml:space="preserve">  التارجت المطلوب</t>
  </si>
  <si>
    <t xml:space="preserve">  المحصّل حتى الآن</t>
  </si>
  <si>
    <t>وحدات للتارجت
وحدها</t>
  </si>
  <si>
    <t>إيراد
50 وحدة</t>
  </si>
  <si>
    <t>إيراد
30 وحدة</t>
  </si>
  <si>
    <t>تغطية 50</t>
  </si>
  <si>
    <t>تغطية 30</t>
  </si>
  <si>
    <t>🏫 حضانة</t>
  </si>
  <si>
    <t>بالشهر</t>
  </si>
  <si>
    <t>باليوم</t>
  </si>
  <si>
    <t>بالساعة</t>
  </si>
  <si>
    <t xml:space="preserve">  ▶  حاسبة التوزيع المخصص – جرّب أي تركيبة وشوف هل بتوصل للتارجت</t>
  </si>
  <si>
    <t xml:space="preserve">  📝  أدخل الأعداد المتوقعة في الخانات الصفراء — النتيجة بتتحسب تلقائياً مع الإشارة للتارجت</t>
  </si>
  <si>
    <t>العدد / الكمية
← اكتب هنا</t>
  </si>
  <si>
    <t>الإيراد المتوقع (ج.م)</t>
  </si>
  <si>
    <t xml:space="preserve">  إجمالي الإيراد المتوقع من التوزيع</t>
  </si>
  <si>
    <t xml:space="preserve">  النتيجة النهائية:</t>
  </si>
  <si>
    <t>نسبة التغطية: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</si>
</sst>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ج.م&quot;"/>
    <numFmt numFmtId="165" formatCode="0.0%"/>
  </numFmts>
  <fonts count="66" x14ac:knownFonts="1">
    <font>
      <sz val="11"/>
      <color theme="1"/>
      <name val="Calibri"/>
      <family val="2"/>
      <charset val="1"/>
    </font>
    <font>
      <b/>
      <sz val="13"/>
      <color rgb="FFC9A84C"/>
      <name val="Arial"/>
      <family val="2"/>
    </font>
    <font>
      <b/>
      <sz val="11"/>
      <color rgb="FFFFFFFF"/>
      <name val="Arial"/>
      <family val="2"/>
    </font>
    <font>
      <b/>
      <sz val="12"/>
      <color rgb="FF0000FF"/>
      <name val="Arial"/>
      <family val="2"/>
    </font>
    <font>
      <b/>
      <sz val="10"/>
      <color rgb="FFED7D31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C00000"/>
      <name val="Arial"/>
      <family val="2"/>
    </font>
    <font>
      <b/>
      <sz val="14"/>
      <color rgb="FFED7D31"/>
      <name val="Arial"/>
      <family val="2"/>
    </font>
    <font>
      <b/>
      <sz val="14"/>
      <color rgb="FF1F3864"/>
      <name val="Arial"/>
      <family val="2"/>
    </font>
    <font>
      <sz val="9"/>
      <color rgb="FF1F3864"/>
      <name val="Arial"/>
      <family val="2"/>
    </font>
    <font>
      <b/>
      <sz val="12"/>
      <color rgb="FF1F3864"/>
      <name val="Arial"/>
      <family val="2"/>
    </font>
    <font>
      <b/>
      <sz val="9"/>
      <color rgb="FFFFFFFF"/>
      <name val="Arial"/>
      <family val="2"/>
    </font>
    <font>
      <b/>
      <sz val="13"/>
      <color rgb="FF1E7145"/>
      <name val="Arial"/>
      <family val="2"/>
    </font>
    <font>
      <b/>
      <sz val="13"/>
      <color rgb="FFC00000"/>
      <name val="Arial"/>
      <family val="2"/>
    </font>
    <font>
      <b/>
      <sz val="13"/>
      <color rgb="FF2F75B6"/>
      <name val="Arial"/>
      <family val="2"/>
    </font>
    <font>
      <b/>
      <sz val="10"/>
      <color rgb="FF1E7145"/>
      <name val="Arial"/>
      <family val="2"/>
    </font>
    <font>
      <b/>
      <sz val="12"/>
      <color rgb="FF1E7145"/>
      <name val="Arial"/>
      <family val="2"/>
    </font>
    <font>
      <b/>
      <sz val="10"/>
      <color rgb="FF2F75B6"/>
      <name val="Arial"/>
      <family val="2"/>
    </font>
    <font>
      <b/>
      <sz val="12"/>
      <color rgb="FF2F75B6"/>
      <name val="Arial"/>
      <family val="2"/>
    </font>
    <font>
      <b/>
      <sz val="10"/>
      <color rgb="FF7030A0"/>
      <name val="Arial"/>
      <family val="2"/>
    </font>
    <font>
      <b/>
      <sz val="12"/>
      <color rgb="FF7030A0"/>
      <name val="Arial"/>
      <family val="2"/>
    </font>
    <font>
      <b/>
      <sz val="9"/>
      <color rgb="FF1F3864"/>
      <name val="Arial"/>
      <family val="2"/>
    </font>
    <font>
      <b/>
      <sz val="9"/>
      <color rgb="FF1E7145"/>
      <name val="Arial"/>
      <family val="2"/>
    </font>
    <font>
      <b/>
      <sz val="9"/>
      <color rgb="FFC00000"/>
      <name val="Arial"/>
      <family val="2"/>
    </font>
    <font>
      <sz val="9"/>
      <color rgb="FF2F75B6"/>
      <name val="Arial"/>
      <family val="2"/>
    </font>
    <font>
      <b/>
      <sz val="9"/>
      <color rgb="FFC9A84C"/>
      <name val="Arial"/>
      <family val="2"/>
    </font>
    <font>
      <b/>
      <sz val="11"/>
      <color rgb="FF1E7145"/>
      <name val="Arial"/>
      <family val="2"/>
    </font>
    <font>
      <b/>
      <sz val="11"/>
      <color rgb="FFC00000"/>
      <name val="Arial"/>
      <family val="2"/>
    </font>
    <font>
      <b/>
      <sz val="11"/>
      <color rgb="FF1F3864"/>
      <name val="Arial"/>
      <family val="2"/>
    </font>
    <font>
      <b/>
      <sz val="11"/>
      <color rgb="FF2F75B6"/>
      <name val="Arial"/>
      <family val="2"/>
    </font>
    <font>
      <sz val="9"/>
      <color rgb="FFC9A84C"/>
      <name val="Arial"/>
      <family val="2"/>
    </font>
    <font>
      <b/>
      <sz val="10"/>
      <color rgb="FF1F3864"/>
      <name val="Arial"/>
      <family val="2"/>
    </font>
    <font>
      <b/>
      <sz val="14"/>
      <color rgb="FFC9A84C"/>
      <name val="Arial"/>
      <family val="2"/>
    </font>
    <font>
      <b/>
      <sz val="9"/>
      <color rgb="FFED7D31"/>
      <name val="Arial"/>
      <family val="2"/>
    </font>
    <font>
      <sz val="9"/>
      <color rgb="FFFFFFFF"/>
      <name val="Arial"/>
      <family val="2"/>
    </font>
    <font>
      <b/>
      <sz val="10"/>
      <color rgb="FF0000FF"/>
      <name val="Arial"/>
      <family val="2"/>
    </font>
    <font>
      <sz val="9"/>
      <color rgb="FF1E7145"/>
      <name val="Arial"/>
      <family val="2"/>
    </font>
    <font>
      <b/>
      <sz val="11"/>
      <color rgb="FF7030A0"/>
      <name val="Arial"/>
      <family val="2"/>
    </font>
    <font>
      <sz val="9"/>
      <color rgb="FF7030A0"/>
      <name val="Arial"/>
      <family val="2"/>
    </font>
    <font>
      <b/>
      <sz val="10"/>
      <color rgb="FFC9A84C"/>
      <name val="Arial"/>
      <family val="2"/>
    </font>
    <font>
      <sz val="9"/>
      <color rgb="FF595959"/>
      <name val="Arial"/>
      <family val="2"/>
    </font>
    <font>
      <b/>
      <sz val="9"/>
      <color rgb="FF0000FF"/>
      <name val="Arial"/>
      <family val="2"/>
    </font>
    <font>
      <b/>
      <sz val="9"/>
      <color rgb="FF7030A0"/>
      <name val="Arial"/>
      <family val="2"/>
    </font>
    <font>
      <b/>
      <sz val="10"/>
      <color rgb="FFC00000"/>
      <name val="Arial"/>
      <family val="2"/>
    </font>
    <font>
      <sz val="9"/>
      <color rgb="FFED7D31"/>
      <name val="Arial"/>
      <family val="2"/>
    </font>
    <font>
      <sz val="9"/>
      <color rgb="FFC00000"/>
      <name val="Arial"/>
      <family val="2"/>
    </font>
    <font>
      <sz val="9"/>
      <name val="Arial"/>
      <family val="2"/>
    </font>
    <font>
      <b/>
      <sz val="9"/>
      <color rgb="FF2F75B6"/>
      <name val="Arial"/>
      <family val="2"/>
    </font>
    <font>
      <b/>
      <sz val="12"/>
      <color rgb="FFC00000"/>
      <name val="Arial"/>
      <family val="2"/>
    </font>
    <font>
      <b/>
      <sz val="12"/>
      <color rgb="FFED7D31"/>
      <name val="Arial"/>
      <family val="2"/>
    </font>
    <font>
      <b/>
      <sz val="15"/>
      <color rgb="FFC9A84C"/>
      <name val="Arial"/>
      <family val="2"/>
    </font>
    <font>
      <b/>
      <sz val="12"/>
      <color rgb="FFFFFFFF"/>
      <name val="Arial"/>
      <family val="2"/>
    </font>
    <font>
      <b/>
      <sz val="16"/>
      <color rgb="FF0000FF"/>
      <name val="Arial"/>
      <family val="2"/>
    </font>
    <font>
      <sz val="7"/>
      <color rgb="FFFFFFFF"/>
      <name val="Cambria"/>
      <family val="1"/>
    </font>
    <font>
      <b/>
      <sz val="11"/>
      <color rgb="FFC9A84C"/>
      <name val="Arial"/>
      <family val="2"/>
    </font>
    <font>
      <b/>
      <sz val="11"/>
      <color rgb="FF0000FF"/>
      <name val="Arial"/>
      <family val="2"/>
    </font>
    <font>
      <b/>
      <sz val="10"/>
      <color rgb="FF843C0C"/>
      <name val="Arial"/>
      <family val="2"/>
    </font>
    <font>
      <b/>
      <sz val="11"/>
      <color rgb="FF843C0C"/>
      <name val="Arial"/>
      <family val="2"/>
    </font>
    <font>
      <b/>
      <sz val="9"/>
      <color rgb="FF1E4620"/>
      <name val="Arial"/>
      <family val="2"/>
    </font>
    <font>
      <sz val="9"/>
      <color rgb="FF1E4620"/>
      <name val="Arial"/>
      <family val="2"/>
    </font>
    <font>
      <b/>
      <sz val="9"/>
      <color rgb="FF1F497D"/>
      <name val="Arial"/>
      <family val="2"/>
    </font>
    <font>
      <sz val="9"/>
      <color rgb="FF1F497D"/>
      <name val="Arial"/>
      <family val="2"/>
    </font>
    <font>
      <b/>
      <sz val="14"/>
      <color rgb="FF1E7145"/>
      <name val="Arial"/>
      <family val="2"/>
    </font>
    <font>
      <b/>
      <sz val="13"/>
      <color rgb="FF843C0C"/>
      <name val="Arial"/>
      <family val="2"/>
    </font>
    <font>
      <b/>
      <sz val="12"/>
      <color rgb="FF1E7145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DE7"/>
      </patternFill>
    </fill>
    <fill>
      <patternFill patternType="solid">
        <fgColor rgb="FFC9A84C"/>
        <bgColor rgb="FFED7D31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AD1DC"/>
        <bgColor rgb="FFFCE4D6"/>
      </patternFill>
    </fill>
    <fill>
      <patternFill patternType="solid">
        <fgColor rgb="FFFFFFFF"/>
        <bgColor rgb="FFFFFDE7"/>
      </patternFill>
    </fill>
    <fill>
      <patternFill patternType="solid">
        <fgColor rgb="FFC00000"/>
        <bgColor rgb="FF800000"/>
      </patternFill>
    </fill>
    <fill>
      <patternFill patternType="solid">
        <fgColor rgb="FFFFFDE7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FFD7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2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right" vertical="center"/>
    </xf>
    <xf numFmtId="165" fontId="15" fillId="10" borderId="3" xfId="0" applyNumberFormat="1" applyFont="1" applyFill="1" applyBorder="1" applyAlignment="1">
      <alignment horizontal="center" vertical="center"/>
    </xf>
    <xf numFmtId="164" fontId="14" fillId="6" borderId="3" xfId="0" applyNumberFormat="1" applyFont="1" applyFill="1" applyBorder="1" applyAlignment="1">
      <alignment horizontal="center" vertical="center"/>
    </xf>
    <xf numFmtId="164" fontId="13" fillId="9" borderId="3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164" fontId="9" fillId="7" borderId="3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>
      <alignment horizontal="right" vertical="center" wrapText="1"/>
    </xf>
    <xf numFmtId="0" fontId="10" fillId="7" borderId="2" xfId="0" applyFont="1" applyFill="1" applyBorder="1" applyAlignment="1">
      <alignment horizontal="right" vertical="center"/>
    </xf>
    <xf numFmtId="3" fontId="11" fillId="8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164" fontId="23" fillId="9" borderId="2" xfId="0" applyNumberFormat="1" applyFont="1" applyFill="1" applyBorder="1" applyAlignment="1">
      <alignment horizontal="center" vertical="center"/>
    </xf>
    <xf numFmtId="164" fontId="24" fillId="6" borderId="2" xfId="0" applyNumberFormat="1" applyFont="1" applyFill="1" applyBorder="1" applyAlignment="1">
      <alignment horizontal="center" vertical="center"/>
    </xf>
    <xf numFmtId="165" fontId="25" fillId="10" borderId="2" xfId="0" applyNumberFormat="1" applyFont="1" applyFill="1" applyBorder="1" applyAlignment="1">
      <alignment horizontal="center" vertical="center"/>
    </xf>
    <xf numFmtId="49" fontId="10" fillId="7" borderId="2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49" fontId="10" fillId="13" borderId="2" xfId="0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64" fontId="27" fillId="9" borderId="4" xfId="0" applyNumberFormat="1" applyFont="1" applyFill="1" applyBorder="1" applyAlignment="1">
      <alignment horizontal="center" vertical="center"/>
    </xf>
    <xf numFmtId="164" fontId="28" fillId="6" borderId="4" xfId="0" applyNumberFormat="1" applyFont="1" applyFill="1" applyBorder="1" applyAlignment="1">
      <alignment horizontal="center" vertical="center"/>
    </xf>
    <xf numFmtId="164" fontId="29" fillId="7" borderId="4" xfId="0" applyNumberFormat="1" applyFont="1" applyFill="1" applyBorder="1" applyAlignment="1">
      <alignment horizontal="center" vertical="center"/>
    </xf>
    <xf numFmtId="165" fontId="30" fillId="10" borderId="4" xfId="0" applyNumberFormat="1" applyFont="1" applyFill="1" applyBorder="1" applyAlignment="1">
      <alignment horizontal="center" vertical="center"/>
    </xf>
    <xf numFmtId="49" fontId="2" fillId="13" borderId="4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right" vertical="center"/>
    </xf>
    <xf numFmtId="164" fontId="36" fillId="4" borderId="4" xfId="0" applyNumberFormat="1" applyFont="1" applyFill="1" applyBorder="1" applyAlignment="1" applyProtection="1">
      <alignment horizontal="center" vertical="center"/>
      <protection locked="0"/>
    </xf>
    <xf numFmtId="0" fontId="37" fillId="9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right" vertical="center"/>
    </xf>
    <xf numFmtId="0" fontId="25" fillId="10" borderId="2" xfId="0" applyFont="1" applyFill="1" applyBorder="1" applyAlignment="1">
      <alignment horizontal="center" vertical="center"/>
    </xf>
    <xf numFmtId="0" fontId="38" fillId="12" borderId="2" xfId="0" applyFont="1" applyFill="1" applyBorder="1" applyAlignment="1">
      <alignment horizontal="right" vertical="center"/>
    </xf>
    <xf numFmtId="0" fontId="39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right" vertical="center"/>
    </xf>
    <xf numFmtId="164" fontId="41" fillId="7" borderId="2" xfId="0" applyNumberFormat="1" applyFont="1" applyFill="1" applyBorder="1" applyAlignment="1">
      <alignment horizontal="center" vertical="center"/>
    </xf>
    <xf numFmtId="164" fontId="16" fillId="9" borderId="4" xfId="0" applyNumberFormat="1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right" vertical="center"/>
    </xf>
    <xf numFmtId="164" fontId="18" fillId="10" borderId="4" xfId="0" applyNumberFormat="1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right" vertical="center"/>
    </xf>
    <xf numFmtId="164" fontId="20" fillId="12" borderId="4" xfId="0" applyNumberFormat="1" applyFont="1" applyFill="1" applyBorder="1" applyAlignment="1">
      <alignment horizontal="center" vertical="center"/>
    </xf>
    <xf numFmtId="0" fontId="42" fillId="4" borderId="2" xfId="0" applyFont="1" applyFill="1" applyBorder="1" applyAlignment="1" applyProtection="1">
      <alignment horizontal="right" vertical="center"/>
      <protection locked="0"/>
    </xf>
    <xf numFmtId="0" fontId="42" fillId="4" borderId="2" xfId="0" applyFont="1" applyFill="1" applyBorder="1" applyAlignment="1" applyProtection="1">
      <alignment horizontal="center" vertical="center"/>
      <protection locked="0"/>
    </xf>
    <xf numFmtId="164" fontId="42" fillId="4" borderId="2" xfId="0" applyNumberFormat="1" applyFont="1" applyFill="1" applyBorder="1" applyAlignment="1" applyProtection="1">
      <alignment horizontal="center" vertical="center"/>
      <protection locked="0"/>
    </xf>
    <xf numFmtId="14" fontId="42" fillId="4" borderId="2" xfId="0" applyNumberFormat="1" applyFont="1" applyFill="1" applyBorder="1" applyAlignment="1" applyProtection="1">
      <alignment horizontal="center" vertical="center"/>
      <protection locked="0"/>
    </xf>
    <xf numFmtId="3" fontId="11" fillId="8" borderId="4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164" fontId="23" fillId="9" borderId="4" xfId="0" applyNumberFormat="1" applyFont="1" applyFill="1" applyBorder="1" applyAlignment="1">
      <alignment horizontal="center" vertical="center"/>
    </xf>
    <xf numFmtId="164" fontId="43" fillId="12" borderId="4" xfId="0" applyNumberFormat="1" applyFont="1" applyFill="1" applyBorder="1" applyAlignment="1">
      <alignment horizontal="center" vertical="center"/>
    </xf>
    <xf numFmtId="164" fontId="22" fillId="8" borderId="2" xfId="0" applyNumberFormat="1" applyFont="1" applyFill="1" applyBorder="1" applyAlignment="1">
      <alignment horizontal="center" vertical="center"/>
    </xf>
    <xf numFmtId="164" fontId="44" fillId="6" borderId="4" xfId="0" applyNumberFormat="1" applyFont="1" applyFill="1" applyBorder="1" applyAlignment="1">
      <alignment horizontal="center" vertical="center"/>
    </xf>
    <xf numFmtId="164" fontId="38" fillId="12" borderId="4" xfId="0" applyNumberFormat="1" applyFont="1" applyFill="1" applyBorder="1" applyAlignment="1">
      <alignment horizontal="center" vertical="center"/>
    </xf>
    <xf numFmtId="164" fontId="43" fillId="12" borderId="2" xfId="0" applyNumberFormat="1" applyFont="1" applyFill="1" applyBorder="1" applyAlignment="1">
      <alignment horizontal="center" vertical="center"/>
    </xf>
    <xf numFmtId="3" fontId="42" fillId="4" borderId="2" xfId="0" applyNumberFormat="1" applyFont="1" applyFill="1" applyBorder="1" applyAlignment="1" applyProtection="1">
      <alignment horizontal="center" vertical="center"/>
      <protection locked="0"/>
    </xf>
    <xf numFmtId="164" fontId="37" fillId="9" borderId="2" xfId="0" applyNumberFormat="1" applyFont="1" applyFill="1" applyBorder="1" applyAlignment="1">
      <alignment horizontal="center" vertical="center"/>
    </xf>
    <xf numFmtId="164" fontId="46" fillId="6" borderId="2" xfId="0" applyNumberFormat="1" applyFont="1" applyFill="1" applyBorder="1" applyAlignment="1">
      <alignment horizontal="center" vertical="center"/>
    </xf>
    <xf numFmtId="0" fontId="47" fillId="13" borderId="2" xfId="0" applyFont="1" applyFill="1" applyBorder="1" applyAlignment="1">
      <alignment horizontal="center" vertical="center"/>
    </xf>
    <xf numFmtId="0" fontId="47" fillId="7" borderId="2" xfId="0" applyFont="1" applyFill="1" applyBorder="1" applyAlignment="1">
      <alignment horizontal="center" vertical="center"/>
    </xf>
    <xf numFmtId="164" fontId="29" fillId="8" borderId="4" xfId="0" applyNumberFormat="1" applyFont="1" applyFill="1" applyBorder="1" applyAlignment="1">
      <alignment horizontal="center" vertical="center"/>
    </xf>
    <xf numFmtId="0" fontId="48" fillId="10" borderId="2" xfId="0" applyFont="1" applyFill="1" applyBorder="1" applyAlignment="1">
      <alignment horizontal="center" vertical="center"/>
    </xf>
    <xf numFmtId="0" fontId="54" fillId="13" borderId="0" xfId="0" applyFont="1" applyFill="1"/>
    <xf numFmtId="3" fontId="10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164" fontId="22" fillId="7" borderId="2" xfId="0" applyNumberFormat="1" applyFont="1" applyFill="1" applyBorder="1" applyAlignment="1">
      <alignment horizontal="center" vertical="center"/>
    </xf>
    <xf numFmtId="3" fontId="10" fillId="13" borderId="2" xfId="0" applyNumberFormat="1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164" fontId="17" fillId="9" borderId="4" xfId="0" applyNumberFormat="1" applyFont="1" applyFill="1" applyBorder="1" applyAlignment="1">
      <alignment horizontal="center" vertical="center"/>
    </xf>
    <xf numFmtId="164" fontId="49" fillId="6" borderId="4" xfId="0" applyNumberFormat="1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 wrapText="1"/>
    </xf>
    <xf numFmtId="165" fontId="36" fillId="4" borderId="5" xfId="0" applyNumberFormat="1" applyFont="1" applyFill="1" applyBorder="1" applyAlignment="1" applyProtection="1">
      <alignment horizontal="center" vertical="center"/>
      <protection locked="0"/>
    </xf>
    <xf numFmtId="164" fontId="34" fillId="4" borderId="2" xfId="0" applyNumberFormat="1" applyFont="1" applyFill="1" applyBorder="1" applyAlignment="1">
      <alignment horizontal="center" vertical="center"/>
    </xf>
    <xf numFmtId="164" fontId="22" fillId="13" borderId="2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4" fontId="24" fillId="6" borderId="4" xfId="0" applyNumberFormat="1" applyFont="1" applyFill="1" applyBorder="1" applyAlignment="1">
      <alignment horizontal="center" vertical="center"/>
    </xf>
    <xf numFmtId="164" fontId="34" fillId="4" borderId="4" xfId="0" applyNumberFormat="1" applyFont="1" applyFill="1" applyBorder="1" applyAlignment="1">
      <alignment horizontal="center" vertical="center"/>
    </xf>
    <xf numFmtId="164" fontId="22" fillId="7" borderId="4" xfId="0" applyNumberFormat="1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49" fontId="56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4" xfId="0" applyNumberFormat="1" applyFont="1" applyFill="1" applyBorder="1" applyAlignment="1">
      <alignment horizontal="center" vertical="center"/>
    </xf>
    <xf numFmtId="164" fontId="57" fillId="15" borderId="4" xfId="0" applyNumberFormat="1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right" vertical="center"/>
    </xf>
    <xf numFmtId="3" fontId="58" fillId="15" borderId="5" xfId="0" applyNumberFormat="1" applyFont="1" applyFill="1" applyBorder="1" applyAlignment="1">
      <alignment horizontal="center" vertical="center"/>
    </xf>
    <xf numFmtId="165" fontId="23" fillId="9" borderId="2" xfId="0" applyNumberFormat="1" applyFont="1" applyFill="1" applyBorder="1" applyAlignment="1">
      <alignment horizontal="center" vertical="center"/>
    </xf>
    <xf numFmtId="165" fontId="48" fillId="10" borderId="2" xfId="0" applyNumberFormat="1" applyFont="1" applyFill="1" applyBorder="1" applyAlignment="1">
      <alignment horizontal="center" vertical="center"/>
    </xf>
    <xf numFmtId="0" fontId="59" fillId="9" borderId="2" xfId="0" applyFont="1" applyFill="1" applyBorder="1" applyAlignment="1">
      <alignment horizontal="right" vertical="center"/>
    </xf>
    <xf numFmtId="0" fontId="60" fillId="9" borderId="2" xfId="0" applyFont="1" applyFill="1" applyBorder="1" applyAlignment="1">
      <alignment horizontal="center" vertical="center"/>
    </xf>
    <xf numFmtId="164" fontId="59" fillId="9" borderId="2" xfId="0" applyNumberFormat="1" applyFont="1" applyFill="1" applyBorder="1" applyAlignment="1">
      <alignment horizontal="center" vertical="center"/>
    </xf>
    <xf numFmtId="0" fontId="48" fillId="10" borderId="2" xfId="0" applyFont="1" applyFill="1" applyBorder="1" applyAlignment="1">
      <alignment horizontal="right" vertical="center"/>
    </xf>
    <xf numFmtId="164" fontId="48" fillId="10" borderId="2" xfId="0" applyNumberFormat="1" applyFont="1" applyFill="1" applyBorder="1" applyAlignment="1">
      <alignment horizontal="center" vertical="center"/>
    </xf>
    <xf numFmtId="0" fontId="61" fillId="10" borderId="2" xfId="0" applyFont="1" applyFill="1" applyBorder="1" applyAlignment="1">
      <alignment horizontal="right" vertical="center"/>
    </xf>
    <xf numFmtId="0" fontId="62" fillId="10" borderId="2" xfId="0" applyFont="1" applyFill="1" applyBorder="1" applyAlignment="1">
      <alignment horizontal="center" vertical="center"/>
    </xf>
    <xf numFmtId="164" fontId="61" fillId="10" borderId="2" xfId="0" applyNumberFormat="1" applyFont="1" applyFill="1" applyBorder="1" applyAlignment="1">
      <alignment horizontal="center" vertical="center"/>
    </xf>
    <xf numFmtId="0" fontId="43" fillId="12" borderId="2" xfId="0" applyFont="1" applyFill="1" applyBorder="1" applyAlignment="1">
      <alignment horizontal="right" vertical="center"/>
    </xf>
    <xf numFmtId="3" fontId="36" fillId="4" borderId="5" xfId="0" applyNumberFormat="1" applyFont="1" applyFill="1" applyBorder="1" applyAlignment="1" applyProtection="1">
      <alignment horizontal="center" vertical="center"/>
      <protection locked="0"/>
    </xf>
    <xf numFmtId="164" fontId="16" fillId="9" borderId="2" xfId="0" applyNumberFormat="1" applyFont="1" applyFill="1" applyBorder="1" applyAlignment="1">
      <alignment horizontal="center" vertical="center"/>
    </xf>
    <xf numFmtId="164" fontId="63" fillId="9" borderId="4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165" fontId="64" fillId="4" borderId="4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3" fontId="17" fillId="9" borderId="3" xfId="0" applyNumberFormat="1" applyFont="1" applyFill="1" applyBorder="1" applyAlignment="1">
      <alignment horizontal="center" vertical="center"/>
    </xf>
    <xf numFmtId="164" fontId="17" fillId="9" borderId="3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3" fontId="19" fillId="10" borderId="3" xfId="0" applyNumberFormat="1" applyFont="1" applyFill="1" applyBorder="1" applyAlignment="1">
      <alignment horizontal="center" vertical="center"/>
    </xf>
    <xf numFmtId="164" fontId="19" fillId="10" borderId="3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3" fontId="21" fillId="12" borderId="3" xfId="0" applyNumberFormat="1" applyFont="1" applyFill="1" applyBorder="1" applyAlignment="1">
      <alignment horizontal="center" vertical="center"/>
    </xf>
    <xf numFmtId="164" fontId="21" fillId="12" borderId="3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right" vertical="center"/>
    </xf>
    <xf numFmtId="0" fontId="32" fillId="7" borderId="3" xfId="0" applyFont="1" applyFill="1" applyBorder="1" applyAlignment="1">
      <alignment horizontal="right" vertical="center" wrapText="1"/>
    </xf>
    <xf numFmtId="0" fontId="32" fillId="6" borderId="3" xfId="0" applyFont="1" applyFill="1" applyBorder="1" applyAlignment="1">
      <alignment horizontal="right" vertical="center" wrapText="1"/>
    </xf>
    <xf numFmtId="0" fontId="33" fillId="2" borderId="0" xfId="0" applyFont="1" applyFill="1" applyAlignment="1">
      <alignment horizontal="center" vertical="center"/>
    </xf>
    <xf numFmtId="0" fontId="34" fillId="4" borderId="1" xfId="0" applyFont="1" applyFill="1" applyBorder="1" applyAlignment="1">
      <alignment horizontal="right" vertical="center"/>
    </xf>
    <xf numFmtId="0" fontId="0" fillId="0" borderId="0" xfId="0"/>
    <xf numFmtId="165" fontId="36" fillId="4" borderId="3" xfId="0" applyNumberFormat="1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>
      <alignment horizontal="center" vertical="center"/>
    </xf>
    <xf numFmtId="3" fontId="36" fillId="4" borderId="3" xfId="0" applyNumberFormat="1" applyFont="1" applyFill="1" applyBorder="1" applyAlignment="1" applyProtection="1">
      <alignment horizontal="center" vertical="center"/>
      <protection locked="0"/>
    </xf>
    <xf numFmtId="0" fontId="10" fillId="1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right" vertical="center"/>
    </xf>
    <xf numFmtId="0" fontId="40" fillId="2" borderId="1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164" fontId="49" fillId="6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164" fontId="50" fillId="4" borderId="3" xfId="0" applyNumberFormat="1" applyFont="1" applyFill="1" applyBorder="1" applyAlignment="1">
      <alignment horizontal="center" vertical="center"/>
    </xf>
    <xf numFmtId="165" fontId="19" fillId="10" borderId="3" xfId="0" applyNumberFormat="1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right" vertical="center"/>
    </xf>
    <xf numFmtId="0" fontId="53" fillId="4" borderId="3" xfId="0" applyFont="1" applyFill="1" applyBorder="1" applyAlignment="1" applyProtection="1">
      <alignment horizontal="right" vertical="center"/>
      <protection locked="0"/>
    </xf>
    <xf numFmtId="0" fontId="29" fillId="7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horizontal="right" vertical="center"/>
    </xf>
    <xf numFmtId="0" fontId="55" fillId="2" borderId="3" xfId="0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right" vertical="center"/>
    </xf>
    <xf numFmtId="0" fontId="40" fillId="2" borderId="3" xfId="0" applyFont="1" applyFill="1" applyBorder="1" applyAlignment="1">
      <alignment horizontal="right" vertical="center"/>
    </xf>
    <xf numFmtId="0" fontId="58" fillId="15" borderId="3" xfId="0" applyFont="1" applyFill="1" applyBorder="1" applyAlignment="1">
      <alignment horizontal="center" vertical="center" wrapText="1"/>
    </xf>
    <xf numFmtId="0" fontId="65" fillId="9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08080"/>
      <rgbColor rgb="FF9999FF"/>
      <rgbColor rgb="FF7030A0"/>
      <rgbColor rgb="FFFFFDE7"/>
      <rgbColor rgb="FFDEEAF1"/>
      <rgbColor rgb="FF660066"/>
      <rgbColor rgb="FFFF8080"/>
      <rgbColor rgb="FF1F497D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F75B6"/>
      <rgbColor rgb="FF33CCCC"/>
      <rgbColor rgb="FF99CC00"/>
      <rgbColor rgb="FFFFD700"/>
      <rgbColor rgb="FFFF9900"/>
      <rgbColor rgb="FFED7D31"/>
      <rgbColor rgb="FF595959"/>
      <rgbColor rgb="FFC9A84C"/>
      <rgbColor rgb="FF17375E"/>
      <rgbColor rgb="FF339966"/>
      <rgbColor rgb="FF003300"/>
      <rgbColor rgb="FF333300"/>
      <rgbColor rgb="FF843C0C"/>
      <rgbColor rgb="FF993366"/>
      <rgbColor rgb="FF1F3864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1"/>
  <sheetViews>
    <sheetView showGridLines="0" rightToLeft="1" zoomScaleNormal="100" workbookViewId="0">
      <selection sqref="A1:XFD1048576"/>
    </sheetView>
  </sheetViews>
  <sheetFormatPr baseColWidth="10" defaultColWidth="20.1640625" defaultRowHeight="15" x14ac:dyDescent="0.2"/>
  <sheetData>
    <row r="1" spans="2:13" ht="37.5" customHeight="1" x14ac:dyDescent="0.2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2:13" ht="7.5" customHeight="1" x14ac:dyDescent="0.2"/>
    <row r="3" spans="2:13" ht="31.5" customHeight="1" x14ac:dyDescent="0.2">
      <c r="B3" s="13" t="s">
        <v>1</v>
      </c>
      <c r="C3" s="13"/>
      <c r="D3" s="15" t="s">
        <v>2</v>
      </c>
      <c r="E3" s="12" t="s">
        <v>3</v>
      </c>
      <c r="F3" s="12"/>
      <c r="G3" s="12"/>
      <c r="H3" s="12"/>
      <c r="I3" s="12"/>
      <c r="J3" s="12"/>
      <c r="K3" s="12"/>
      <c r="L3" s="12"/>
      <c r="M3" s="12"/>
    </row>
    <row r="4" spans="2:13" ht="7.5" customHeight="1" x14ac:dyDescent="0.2"/>
    <row r="5" spans="2:13" ht="24" customHeight="1" x14ac:dyDescent="0.2">
      <c r="B5" s="11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2:13" ht="25.5" customHeight="1" x14ac:dyDescent="0.2">
      <c r="B6" s="16" t="s">
        <v>5</v>
      </c>
      <c r="C6" s="10">
        <f>IFERROR(INDEX('💸 المصروفات'!D21:O21,MATCH($D$3,{"يناير","فبراير","مارس","أبريل","مايو","يونيو","يوليو","أغسطس","سبتمبر","أكتوبر","نوفمبر","ديسمبر"},0)),0)</f>
        <v>25900</v>
      </c>
      <c r="D6" s="10"/>
      <c r="E6" s="10"/>
      <c r="F6" s="16" t="s">
        <v>6</v>
      </c>
      <c r="G6" s="9">
        <f>IFERROR(IFERROR(INDEX('💸 المصروفات'!D21:O21,MATCH($D$3,{"يناير","فبراير","مارس","أبريل","مايو","يونيو","يوليو","أغسطس","سبتمبر","أكتوبر","نوفمبر","ديسمبر"},0)),0)/(1-'⚙️ الإعدادات'!C7),0)</f>
        <v>-130.15075376884423</v>
      </c>
      <c r="H6" s="9"/>
      <c r="I6" s="9"/>
      <c r="J6" s="16" t="s">
        <v>7</v>
      </c>
      <c r="K6" s="8">
        <f ca="1">IFERROR(IFERROR(INDEX('💸 المصروفات'!D21:O21,MATCH($D$3,{"يناير","فبراير","مارس","أبريل","مايو","يونيو","يوليو","أغسطس","سبتمبر","أكتوبر","نوفمبر","ديسمبر"},0)),0)/(1-'⚙️ الإعدادات'!C7),0)-IFERROR(INDIRECT("'"&amp;$D$3&amp;"'!I104"),0)</f>
        <v>-130.15075376884423</v>
      </c>
      <c r="L6" s="8"/>
      <c r="M6" s="8"/>
    </row>
    <row r="7" spans="2:13" ht="6" customHeight="1" x14ac:dyDescent="0.2"/>
    <row r="8" spans="2:13" ht="24" customHeight="1" x14ac:dyDescent="0.2">
      <c r="B8" s="7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ht="21.75" customHeight="1" x14ac:dyDescent="0.2">
      <c r="B9" s="17" t="s">
        <v>9</v>
      </c>
      <c r="C9" s="18">
        <f>IFERROR(CEILING(IFERROR(IFERROR(INDEX('💸 المصروفات'!D21:O21,MATCH($D$3,{"يناير","فبراير","مارس","أبريل","مايو","يونيو","يوليو","أغسطس","سبتمبر","أكتوبر","نوفمبر","ديسمبر"},0)),0)/(1-'⚙️ الإعدادات'!C7),0)/'⚙️ الإعدادات'!C4,1),0)</f>
        <v>0</v>
      </c>
      <c r="D9" s="19"/>
      <c r="E9" s="19"/>
      <c r="F9" s="17" t="s">
        <v>10</v>
      </c>
      <c r="G9" s="18">
        <f>IFERROR(CEILING(IFERROR(IFERROR(INDEX('💸 المصروفات'!D21:O21,MATCH($D$3,{"يناير","فبراير","مارس","أبريل","مايو","يونيو","يوليو","أغسطس","سبتمبر","أكتوبر","نوفمبر","ديسمبر"},0)),0)/(1-'⚙️ الإعدادات'!C7),0)/'⚙️ الإعدادات'!C5,1),0)</f>
        <v>-2</v>
      </c>
      <c r="H9" s="19"/>
      <c r="I9" s="19"/>
      <c r="J9" s="17" t="s">
        <v>11</v>
      </c>
      <c r="K9" s="18">
        <f>IFERROR(CEILING(IFERROR(IFERROR(INDEX('💸 المصروفات'!D21:O21,MATCH($D$3,{"يناير","فبراير","مارس","أبريل","مايو","يونيو","يوليو","أغسطس","سبتمبر","أكتوبر","نوفمبر","ديسمبر"},0)),0)/(1-'⚙️ الإعدادات'!C7),0)/'⚙️ الإعدادات'!C6,1),0)</f>
        <v>-3</v>
      </c>
      <c r="L9" s="19"/>
      <c r="M9" s="19"/>
    </row>
    <row r="10" spans="2:13" ht="6" customHeight="1" x14ac:dyDescent="0.2"/>
    <row r="11" spans="2:13" ht="24" customHeight="1" x14ac:dyDescent="0.2">
      <c r="B11" s="6" t="s">
        <v>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25.5" customHeight="1" x14ac:dyDescent="0.2">
      <c r="B12" s="20" t="s">
        <v>13</v>
      </c>
      <c r="C12" s="5">
        <f ca="1">IFERROR(INDIRECT("'"&amp;$D$3&amp;"'!H104"),0)</f>
        <v>175000</v>
      </c>
      <c r="D12" s="5"/>
      <c r="E12" s="5"/>
      <c r="F12" s="20" t="s">
        <v>14</v>
      </c>
      <c r="G12" s="5">
        <f ca="1">IFERROR(INDIRECT("'"&amp;$D$3&amp;"'!I104"),0)</f>
        <v>0</v>
      </c>
      <c r="H12" s="5"/>
      <c r="I12" s="5"/>
      <c r="J12" s="20" t="s">
        <v>15</v>
      </c>
      <c r="K12" s="4">
        <f ca="1">IFERROR(INDIRECT("'"&amp;$D$3&amp;"'!J104"),0)</f>
        <v>175000</v>
      </c>
      <c r="L12" s="4"/>
      <c r="M12" s="4"/>
    </row>
    <row r="13" spans="2:13" ht="25.5" customHeight="1" x14ac:dyDescent="0.2">
      <c r="B13" s="20" t="s">
        <v>16</v>
      </c>
      <c r="C13" s="4">
        <f>IFERROR(INDEX('💸 المصروفات'!D20:O20,MATCH($D$3,{"يناير","فبراير","مارس","أبريل","مايو","يونيو","يوليو","أغسطس","سبتمبر","أكتوبر","نوفمبر","ديسمبر"},0)),0)</f>
        <v>25900</v>
      </c>
      <c r="D13" s="4"/>
      <c r="E13" s="4"/>
      <c r="F13" s="20" t="s">
        <v>17</v>
      </c>
      <c r="G13" s="4">
        <f>IFERROR(INDEX('👔 الرواتب'!L15:W15,MATCH($D$3,{"يناير","فبراير","مارس","أبريل","مايو","يونيو","يوليو","أغسطس","سبتمبر","أكتوبر","نوفمبر","ديسمبر"},0)),0)</f>
        <v>61950</v>
      </c>
      <c r="H13" s="4"/>
      <c r="I13" s="4"/>
      <c r="J13" s="20" t="s">
        <v>18</v>
      </c>
      <c r="K13" s="3">
        <f ca="1">IFERROR(IFERROR(INDIRECT("'"&amp;$D$3&amp;"'!I104"),0)/IFERROR(INDIRECT("'"&amp;$D$3&amp;"'!H104"),0),0)</f>
        <v>0</v>
      </c>
      <c r="L13" s="3"/>
      <c r="M13" s="3"/>
    </row>
    <row r="14" spans="2:13" ht="6" customHeight="1" x14ac:dyDescent="0.2"/>
    <row r="15" spans="2:13" ht="24" customHeight="1" x14ac:dyDescent="0.2"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24" customHeight="1" x14ac:dyDescent="0.2">
      <c r="B16" s="1" t="s">
        <v>20</v>
      </c>
      <c r="C16" s="1"/>
      <c r="D16" s="1"/>
      <c r="E16" s="1"/>
      <c r="F16" s="1" t="s">
        <v>21</v>
      </c>
      <c r="G16" s="1"/>
      <c r="H16" s="1"/>
      <c r="I16" s="1"/>
      <c r="J16" s="1" t="s">
        <v>22</v>
      </c>
      <c r="K16" s="1"/>
      <c r="L16" s="1"/>
      <c r="M16" s="1"/>
    </row>
    <row r="17" spans="2:13" ht="21.75" customHeight="1" x14ac:dyDescent="0.2">
      <c r="B17" s="115" t="s">
        <v>23</v>
      </c>
      <c r="C17" s="115"/>
      <c r="D17" s="115"/>
      <c r="E17" s="115"/>
      <c r="F17" s="116">
        <f ca="1">IFERROR(COUNTIF(INDIRECT("'"&amp;$D$3&amp;"'!D4:D103"),"حضانة"),0)</f>
        <v>50</v>
      </c>
      <c r="G17" s="116"/>
      <c r="H17" s="116"/>
      <c r="I17" s="116"/>
      <c r="J17" s="117">
        <f ca="1">IFERROR(SUMIF(INDIRECT("'"&amp;$D$3&amp;"'!D4:D103"),"حضانة",INDIRECT("'"&amp;$D$3&amp;"'!I4:I103")),0)</f>
        <v>0</v>
      </c>
      <c r="K17" s="117"/>
      <c r="L17" s="117"/>
      <c r="M17" s="117"/>
    </row>
    <row r="18" spans="2:13" ht="21.75" customHeight="1" x14ac:dyDescent="0.2">
      <c r="B18" s="118" t="s">
        <v>24</v>
      </c>
      <c r="C18" s="118"/>
      <c r="D18" s="118"/>
      <c r="E18" s="118"/>
      <c r="F18" s="119">
        <f ca="1">IFERROR(COUNTIF(INDIRECT("'"&amp;$D$3&amp;"'!D4:D103"),"استضافة"),0)</f>
        <v>20</v>
      </c>
      <c r="G18" s="119"/>
      <c r="H18" s="119"/>
      <c r="I18" s="119"/>
      <c r="J18" s="120">
        <f ca="1">IFERROR(SUMIF(INDIRECT("'"&amp;$D$3&amp;"'!D4:D103"),"استضافة",INDIRECT("'"&amp;$D$3&amp;"'!I4:I103")),0)</f>
        <v>0</v>
      </c>
      <c r="K18" s="120"/>
      <c r="L18" s="120"/>
      <c r="M18" s="120"/>
    </row>
    <row r="19" spans="2:13" ht="21.75" customHeight="1" x14ac:dyDescent="0.2">
      <c r="B19" s="121" t="s">
        <v>11</v>
      </c>
      <c r="C19" s="121"/>
      <c r="D19" s="121"/>
      <c r="E19" s="121"/>
      <c r="F19" s="122">
        <f ca="1">IFERROR(COUNTIF(INDIRECT("'"&amp;$D$3&amp;"'!D4:D103"),"جلسة"),0)</f>
        <v>30</v>
      </c>
      <c r="G19" s="122"/>
      <c r="H19" s="122"/>
      <c r="I19" s="122"/>
      <c r="J19" s="123">
        <f ca="1">IFERROR(SUMIF(INDIRECT("'"&amp;$D$3&amp;"'!D4:D103"),"جلسة",INDIRECT("'"&amp;$D$3&amp;"'!I4:I103")),0)</f>
        <v>0</v>
      </c>
      <c r="K19" s="123"/>
      <c r="L19" s="123"/>
      <c r="M19" s="123"/>
    </row>
    <row r="20" spans="2:13" ht="6" customHeight="1" x14ac:dyDescent="0.2"/>
    <row r="21" spans="2:13" ht="24" customHeight="1" x14ac:dyDescent="0.2">
      <c r="B21" s="7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 ht="25.5" customHeight="1" x14ac:dyDescent="0.2">
      <c r="B22" s="21" t="s">
        <v>26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</row>
    <row r="23" spans="2:13" ht="19.5" customHeight="1" x14ac:dyDescent="0.2">
      <c r="B23" s="22" t="s">
        <v>2</v>
      </c>
      <c r="C23" s="23">
        <f>IFERROR(يناير!I104,0)</f>
        <v>0</v>
      </c>
      <c r="D23" s="24">
        <f>IFERROR('💸 المصروفات'!D21,0)</f>
        <v>25900</v>
      </c>
      <c r="E23" s="23">
        <f>IFERROR(يناير!I104-'💸 المصروفات'!D21,0)</f>
        <v>-25900</v>
      </c>
      <c r="F23" s="25">
        <f>IFERROR(يناير!I104/يناير!H104,0)</f>
        <v>0</v>
      </c>
      <c r="G23" s="26" t="str">
        <f t="shared" ref="G23:G34" si="0">IF(E23=0,"—",IF(E23&gt;0,"✅ ربح","❌ خسارة"))</f>
        <v>❌ خسارة</v>
      </c>
      <c r="H23" s="19"/>
      <c r="I23" s="19"/>
      <c r="J23" s="19"/>
      <c r="K23" s="19"/>
      <c r="L23" s="19"/>
      <c r="M23" s="19"/>
    </row>
    <row r="24" spans="2:13" ht="19.5" customHeight="1" x14ac:dyDescent="0.2">
      <c r="B24" s="27" t="s">
        <v>32</v>
      </c>
      <c r="C24" s="23">
        <f>IFERROR(فبراير!I104,0)</f>
        <v>0</v>
      </c>
      <c r="D24" s="24">
        <f>IFERROR('💸 المصروفات'!E21,0)</f>
        <v>81900</v>
      </c>
      <c r="E24" s="23">
        <f>IFERROR(فبراير!I104-'💸 المصروفات'!E21,0)</f>
        <v>-81900</v>
      </c>
      <c r="F24" s="25">
        <f>IFERROR(فبراير!I104/فبراير!H104,0)</f>
        <v>0</v>
      </c>
      <c r="G24" s="28" t="str">
        <f t="shared" si="0"/>
        <v>❌ خسارة</v>
      </c>
      <c r="H24" s="29"/>
      <c r="I24" s="29"/>
      <c r="J24" s="29"/>
      <c r="K24" s="29"/>
      <c r="L24" s="29"/>
      <c r="M24" s="29"/>
    </row>
    <row r="25" spans="2:13" ht="19.5" customHeight="1" x14ac:dyDescent="0.2">
      <c r="B25" s="22" t="s">
        <v>33</v>
      </c>
      <c r="C25" s="23">
        <f>IFERROR(مارس!I104,0)</f>
        <v>0</v>
      </c>
      <c r="D25" s="24">
        <f>IFERROR('💸 المصروفات'!F21,0)</f>
        <v>29500</v>
      </c>
      <c r="E25" s="23">
        <f>IFERROR(مارس!I104-'💸 المصروفات'!F21,0)</f>
        <v>-29500</v>
      </c>
      <c r="F25" s="25">
        <f>IFERROR(مارس!I104/مارس!H104,0)</f>
        <v>0</v>
      </c>
      <c r="G25" s="26" t="str">
        <f t="shared" si="0"/>
        <v>❌ خسارة</v>
      </c>
      <c r="H25" s="19"/>
      <c r="I25" s="19"/>
      <c r="J25" s="19"/>
      <c r="K25" s="19"/>
      <c r="L25" s="19"/>
      <c r="M25" s="19"/>
    </row>
    <row r="26" spans="2:13" ht="19.5" customHeight="1" x14ac:dyDescent="0.2">
      <c r="B26" s="27" t="s">
        <v>34</v>
      </c>
      <c r="C26" s="23">
        <f>IFERROR(أبريل!I104,0)</f>
        <v>0</v>
      </c>
      <c r="D26" s="24">
        <f>IFERROR('💸 المصروفات'!G21,0)</f>
        <v>28250</v>
      </c>
      <c r="E26" s="23">
        <f>IFERROR(أبريل!I104-'💸 المصروفات'!G21,0)</f>
        <v>-28250</v>
      </c>
      <c r="F26" s="25">
        <f>IFERROR(أبريل!I104/أبريل!H104,0)</f>
        <v>0</v>
      </c>
      <c r="G26" s="28" t="str">
        <f t="shared" si="0"/>
        <v>❌ خسارة</v>
      </c>
      <c r="H26" s="29"/>
      <c r="I26" s="29"/>
      <c r="J26" s="29"/>
      <c r="K26" s="29"/>
      <c r="L26" s="29"/>
      <c r="M26" s="29"/>
    </row>
    <row r="27" spans="2:13" ht="19.5" customHeight="1" x14ac:dyDescent="0.2">
      <c r="B27" s="22" t="s">
        <v>35</v>
      </c>
      <c r="C27" s="23">
        <f>IFERROR(مايو!I104,0)</f>
        <v>0</v>
      </c>
      <c r="D27" s="24">
        <f>IFERROR('💸 المصروفات'!H21,0)</f>
        <v>25900</v>
      </c>
      <c r="E27" s="23">
        <f>IFERROR(مايو!I104-'💸 المصروفات'!H21,0)</f>
        <v>-25900</v>
      </c>
      <c r="F27" s="25">
        <f>IFERROR(مايو!I104/مايو!H104,0)</f>
        <v>0</v>
      </c>
      <c r="G27" s="26" t="str">
        <f t="shared" si="0"/>
        <v>❌ خسارة</v>
      </c>
      <c r="H27" s="19"/>
      <c r="I27" s="19"/>
      <c r="J27" s="19"/>
      <c r="K27" s="19"/>
      <c r="L27" s="19"/>
      <c r="M27" s="19"/>
    </row>
    <row r="28" spans="2:13" ht="19.5" customHeight="1" x14ac:dyDescent="0.2">
      <c r="B28" s="27" t="s">
        <v>36</v>
      </c>
      <c r="C28" s="23">
        <f>IFERROR(يونيو!I104,0)</f>
        <v>0</v>
      </c>
      <c r="D28" s="24">
        <f>IFERROR('💸 المصروفات'!I21,0)</f>
        <v>25900</v>
      </c>
      <c r="E28" s="23">
        <f>IFERROR(يونيو!I104-'💸 المصروفات'!I21,0)</f>
        <v>-25900</v>
      </c>
      <c r="F28" s="25">
        <f>IFERROR(يونيو!I104/يونيو!H104,0)</f>
        <v>0</v>
      </c>
      <c r="G28" s="28" t="str">
        <f t="shared" si="0"/>
        <v>❌ خسارة</v>
      </c>
      <c r="H28" s="29"/>
      <c r="I28" s="29"/>
      <c r="J28" s="29"/>
      <c r="K28" s="29"/>
      <c r="L28" s="29"/>
      <c r="M28" s="29"/>
    </row>
    <row r="29" spans="2:13" ht="19.5" customHeight="1" x14ac:dyDescent="0.2">
      <c r="B29" s="22" t="s">
        <v>37</v>
      </c>
      <c r="C29" s="23">
        <f>IFERROR(يوليو!I104,0)</f>
        <v>0</v>
      </c>
      <c r="D29" s="24">
        <f>IFERROR('💸 المصروفات'!J21,0)</f>
        <v>87850</v>
      </c>
      <c r="E29" s="23">
        <f>IFERROR(يوليو!I104-'💸 المصروفات'!J21,0)</f>
        <v>-87850</v>
      </c>
      <c r="F29" s="25">
        <f>IFERROR(يوليو!I104/يوليو!H104,0)</f>
        <v>0</v>
      </c>
      <c r="G29" s="26" t="str">
        <f t="shared" si="0"/>
        <v>❌ خسارة</v>
      </c>
      <c r="H29" s="19"/>
      <c r="I29" s="19"/>
      <c r="J29" s="19"/>
      <c r="K29" s="19"/>
      <c r="L29" s="19"/>
      <c r="M29" s="19"/>
    </row>
    <row r="30" spans="2:13" ht="19.5" customHeight="1" x14ac:dyDescent="0.2">
      <c r="B30" s="27" t="s">
        <v>38</v>
      </c>
      <c r="C30" s="23">
        <f>IFERROR(أغسطس!I104,0)</f>
        <v>0</v>
      </c>
      <c r="D30" s="24">
        <f>IFERROR('💸 المصروفات'!K21,0)</f>
        <v>25900</v>
      </c>
      <c r="E30" s="23">
        <f>IFERROR(أغسطس!I104-'💸 المصروفات'!K21,0)</f>
        <v>-25900</v>
      </c>
      <c r="F30" s="25">
        <f>IFERROR(أغسطس!I104/أغسطس!H104,0)</f>
        <v>0</v>
      </c>
      <c r="G30" s="28" t="str">
        <f t="shared" si="0"/>
        <v>❌ خسارة</v>
      </c>
      <c r="H30" s="29"/>
      <c r="I30" s="29"/>
      <c r="J30" s="29"/>
      <c r="K30" s="29"/>
      <c r="L30" s="29"/>
      <c r="M30" s="29"/>
    </row>
    <row r="31" spans="2:13" ht="19.5" customHeight="1" x14ac:dyDescent="0.2">
      <c r="B31" s="22" t="s">
        <v>39</v>
      </c>
      <c r="C31" s="23">
        <f>IFERROR(سبتمبر!I104,0)</f>
        <v>0</v>
      </c>
      <c r="D31" s="24">
        <f>IFERROR('💸 المصروفات'!L21,0)</f>
        <v>87850</v>
      </c>
      <c r="E31" s="23">
        <f>IFERROR(سبتمبر!I104-'💸 المصروفات'!L21,0)</f>
        <v>-87850</v>
      </c>
      <c r="F31" s="25">
        <f>IFERROR(سبتمبر!I104/سبتمبر!H104,0)</f>
        <v>0</v>
      </c>
      <c r="G31" s="26" t="str">
        <f t="shared" si="0"/>
        <v>❌ خسارة</v>
      </c>
      <c r="H31" s="19"/>
      <c r="I31" s="19"/>
      <c r="J31" s="19"/>
      <c r="K31" s="19"/>
      <c r="L31" s="19"/>
      <c r="M31" s="19"/>
    </row>
    <row r="32" spans="2:13" ht="19.5" customHeight="1" x14ac:dyDescent="0.2">
      <c r="B32" s="27" t="s">
        <v>40</v>
      </c>
      <c r="C32" s="23">
        <f>IFERROR(أكتوبر!I104,0)</f>
        <v>0</v>
      </c>
      <c r="D32" s="24">
        <f>IFERROR('💸 المصروفات'!M21,0)</f>
        <v>87850</v>
      </c>
      <c r="E32" s="23">
        <f>IFERROR(أكتوبر!I104-'💸 المصروفات'!M21,0)</f>
        <v>-87850</v>
      </c>
      <c r="F32" s="25">
        <f>IFERROR(أكتوبر!I104/أكتوبر!H104,0)</f>
        <v>0</v>
      </c>
      <c r="G32" s="28" t="str">
        <f t="shared" si="0"/>
        <v>❌ خسارة</v>
      </c>
      <c r="H32" s="29"/>
      <c r="I32" s="29"/>
      <c r="J32" s="29"/>
      <c r="K32" s="29"/>
      <c r="L32" s="29"/>
      <c r="M32" s="29"/>
    </row>
    <row r="33" spans="2:13" ht="19.5" customHeight="1" x14ac:dyDescent="0.2">
      <c r="B33" s="22" t="s">
        <v>41</v>
      </c>
      <c r="C33" s="23">
        <f>IFERROR(نوفمبر!I104,0)</f>
        <v>0</v>
      </c>
      <c r="D33" s="24">
        <f>IFERROR('💸 المصروفات'!N21,0)</f>
        <v>87850</v>
      </c>
      <c r="E33" s="23">
        <f>IFERROR(نوفمبر!I104-'💸 المصروفات'!N21,0)</f>
        <v>-87850</v>
      </c>
      <c r="F33" s="25">
        <f>IFERROR(نوفمبر!I104/نوفمبر!H104,0)</f>
        <v>0</v>
      </c>
      <c r="G33" s="26" t="str">
        <f t="shared" si="0"/>
        <v>❌ خسارة</v>
      </c>
      <c r="H33" s="19"/>
      <c r="I33" s="19"/>
      <c r="J33" s="19"/>
      <c r="K33" s="19"/>
      <c r="L33" s="19"/>
      <c r="M33" s="19"/>
    </row>
    <row r="34" spans="2:13" ht="19.5" customHeight="1" x14ac:dyDescent="0.2">
      <c r="B34" s="27" t="s">
        <v>42</v>
      </c>
      <c r="C34" s="23">
        <f>IFERROR(ديسمبر!I104,0)</f>
        <v>0</v>
      </c>
      <c r="D34" s="24">
        <f>IFERROR('💸 المصروفات'!O21,0)</f>
        <v>87850</v>
      </c>
      <c r="E34" s="23">
        <f>IFERROR(ديسمبر!I104-'💸 المصروفات'!O21,0)</f>
        <v>-87850</v>
      </c>
      <c r="F34" s="25">
        <f>IFERROR(ديسمبر!I104/ديسمبر!H104,0)</f>
        <v>0</v>
      </c>
      <c r="G34" s="28" t="str">
        <f t="shared" si="0"/>
        <v>❌ خسارة</v>
      </c>
      <c r="H34" s="29"/>
      <c r="I34" s="29"/>
      <c r="J34" s="29"/>
      <c r="K34" s="29"/>
      <c r="L34" s="29"/>
      <c r="M34" s="29"/>
    </row>
    <row r="35" spans="2:13" ht="25.5" customHeight="1" x14ac:dyDescent="0.2">
      <c r="B35" s="30" t="s">
        <v>43</v>
      </c>
      <c r="C35" s="31">
        <f>SUM(C23:C34)</f>
        <v>0</v>
      </c>
      <c r="D35" s="32">
        <f>'💸 المصروفات'!D21+'💸 المصروفات'!E21+'💸 المصروفات'!F21+'💸 المصروفات'!G21+'💸 المصروفات'!H21+'💸 المصروفات'!I21+'💸 المصروفات'!J21+'💸 المصروفات'!K21+'💸 المصروفات'!L21+'💸 المصروفات'!M21+'💸 المصروفات'!N21+'💸 المصروفات'!O21</f>
        <v>682500</v>
      </c>
      <c r="E35" s="33">
        <f>C35-D35</f>
        <v>-682500</v>
      </c>
      <c r="F35" s="34">
        <f>IFERROR(C35/(يناير!I104+فبراير!I104+مارس!I104+أبريل!I104+مايو!I104+يونيو!I104+يوليو!I104+أغسطس!I104+سبتمبر!I104+أكتوبر!I104+نوفمبر!I104+ديسمبر!I104),0)</f>
        <v>0</v>
      </c>
      <c r="G35" s="35"/>
      <c r="H35" s="36"/>
      <c r="I35" s="36"/>
      <c r="J35" s="36"/>
      <c r="K35" s="36"/>
      <c r="L35" s="36"/>
      <c r="M35" s="36"/>
    </row>
    <row r="36" spans="2:13" ht="6" customHeight="1" x14ac:dyDescent="0.2"/>
    <row r="37" spans="2:13" ht="24" customHeight="1" x14ac:dyDescent="0.2">
      <c r="B37" s="124" t="s">
        <v>44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</row>
    <row r="38" spans="2:13" ht="25.5" customHeight="1" x14ac:dyDescent="0.2">
      <c r="B38" s="20" t="s">
        <v>45</v>
      </c>
      <c r="C38" s="125" t="str">
        <f ca="1">IF(IFERROR(INDIRECT("'"&amp;$D$3&amp;"'!I104"),0)&gt;=IFERROR(IFERROR(INDEX('💸 المصروفات'!D21:O21,MATCH($D$3,{"يناير","فبراير","مارس","أبريل","مايو","يونيو","يوليو","أغسطس","سبتمبر","أكتوبر","نوفمبر","ديسمبر"},0)),0)/(1-'⚙️ الإعدادات'!C7),0),"✅ نعم! تجاوزت التارجت – ممتاز","❌ لسه محتاج "&amp;TEXT(IFERROR(IFERROR(INDEX('💸 المصروفات'!D21:O21,MATCH($D$3,{"يناير","فبراير","مارس","أبريل","مايو","يونيو","يوليو","أغسطس","سبتمبر","أكتوبر","نوفمبر","ديسمبر"},0)),0)/(1-'⚙️ الإعدادات'!C7),0)-IFERROR(INDIRECT("'"&amp;$D$3&amp;"'!I104"),0),"#,##0")&amp;" ج.م عشان توصل للتارجت")</f>
        <v>✅ نعم! تجاوزت التارجت – ممتاز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</row>
    <row r="39" spans="2:13" ht="25.5" customHeight="1" x14ac:dyDescent="0.2">
      <c r="B39" s="20" t="s">
        <v>46</v>
      </c>
      <c r="C39" s="125" t="str">
        <f ca="1">IF(IFERROR(INDIRECT("'"&amp;$D$3&amp;"'!I104"),0)-IFERROR(INDEX('💸 المصروفات'!D21:O21,MATCH($D$3,{"يناير","فبراير","مارس","أبريل","مايو","يونيو","يوليو","أغسطس","سبتمبر","أكتوبر","نوفمبر","ديسمبر"},0)),0)&gt;0,"✅ ربح "&amp;TEXT(IFERROR(INDIRECT("'"&amp;$D$3&amp;"'!I104"),0)-IFERROR(INDEX('💸 المصروفات'!D21:O21,MATCH($D$3,{"يناير","فبراير","مارس","أبريل","مايو","يونيو","يوليو","أغسطس","سبتمبر","أكتوبر","نوفمبر","ديسمبر"},0)),0),"#,##0")&amp;" ج.م هذا الشهر","❌ خسارة "&amp;TEXT(ABS(IFERROR(INDIRECT("'"&amp;$D$3&amp;"'!I104"),0)-IFERROR(INDEX('💸 المصروفات'!D21:O21,MATCH($D$3,{"يناير","فبراير","مارس","أبريل","مايو","يونيو","يوليو","أغسطس","سبتمبر","أكتوبر","نوفمبر","ديسمبر"},0)),0)),"#,##0")&amp;" ج.م – المصروفات أكبر من الإيرادات")</f>
        <v>❌ خسارة 25,900 ج.م – المصروفات أكبر من الإيرادات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</row>
    <row r="40" spans="2:13" ht="25.5" customHeight="1" x14ac:dyDescent="0.2">
      <c r="B40" s="20" t="s">
        <v>30</v>
      </c>
      <c r="C40" s="125" t="str">
        <f ca="1">IF(IFERROR(INDIRECT("'"&amp;$D$3&amp;"'!I104"),0)/IFERROR(INDIRECT("'"&amp;$D$3&amp;"'!H104"),0)&gt;=0.9,"✅ ممتاز – نسبة التحصيل "&amp;TEXT(IFERROR(INDIRECT("'"&amp;$D$3&amp;"'!I104"),0)/IFERROR(INDIRECT("'"&amp;$D$3&amp;"'!H104"),0),"0%"),IF(IFERROR(INDIRECT("'"&amp;$D$3&amp;"'!I104"),0)/IFERROR(INDIRECT("'"&amp;$D$3&amp;"'!H104"),0)&gt;=0.7,"⚠️ مقبول – نسبة "&amp;TEXT(IFERROR(INDIRECT("'"&amp;$D$3&amp;"'!I104"),0)/IFERROR(INDIRECT("'"&amp;$D$3&amp;"'!H104"),0),"0%"),"❌ ضعيف – نسبة التحصيل "&amp;TEXT(IFERROR(IFERROR(INDIRECT("'"&amp;$D$3&amp;"'!I104"),0)/IFERROR(INDIRECT("'"&amp;$D$3&amp;"'!H104"),0),0),"0%")))</f>
        <v>❌ ضعيف – نسبة التحصيل 0%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</row>
    <row r="41" spans="2:13" ht="25.5" customHeight="1" x14ac:dyDescent="0.2">
      <c r="B41" s="20" t="s">
        <v>47</v>
      </c>
      <c r="C41" s="126" t="str">
        <f ca="1">IFERROR(COUNTIF(INDIRECT("'"&amp;$D$3&amp;"'!K4:K103"),"❌ لم يُدفع"),0)&amp;" طفل لم يسددوا – متأخرات إجمالية: "&amp;TEXT(IFERROR(INDIRECT("'"&amp;$D$3&amp;"'!J104"),0),"#,##0")&amp;" ج.م"</f>
        <v>100 طفل لم يسددوا – متأخرات إجمالية: 175,000 ج.م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</row>
  </sheetData>
  <sheetProtection password="CC3D" sheet="1" formatCells="0" formatColumns="0" formatRows="0"/>
  <mergeCells count="34">
    <mergeCell ref="C38:M38"/>
    <mergeCell ref="C39:M39"/>
    <mergeCell ref="C40:M40"/>
    <mergeCell ref="C41:M41"/>
    <mergeCell ref="B19:E19"/>
    <mergeCell ref="F19:I19"/>
    <mergeCell ref="J19:M19"/>
    <mergeCell ref="B21:M21"/>
    <mergeCell ref="B37:M37"/>
    <mergeCell ref="B17:E17"/>
    <mergeCell ref="F17:I17"/>
    <mergeCell ref="J17:M17"/>
    <mergeCell ref="B18:E18"/>
    <mergeCell ref="F18:I18"/>
    <mergeCell ref="J18:M18"/>
    <mergeCell ref="C13:E13"/>
    <mergeCell ref="G13:I13"/>
    <mergeCell ref="K13:M13"/>
    <mergeCell ref="B15:M15"/>
    <mergeCell ref="B16:E16"/>
    <mergeCell ref="F16:I16"/>
    <mergeCell ref="J16:M16"/>
    <mergeCell ref="B8:M8"/>
    <mergeCell ref="B11:M11"/>
    <mergeCell ref="C12:E12"/>
    <mergeCell ref="G12:I12"/>
    <mergeCell ref="K12:M12"/>
    <mergeCell ref="B1:M1"/>
    <mergeCell ref="B3:C3"/>
    <mergeCell ref="E3:M3"/>
    <mergeCell ref="B5:M5"/>
    <mergeCell ref="C6:E6"/>
    <mergeCell ref="G6:I6"/>
    <mergeCell ref="K6:M6"/>
  </mergeCells>
  <dataValidations count="1">
    <dataValidation type="list" sqref="D3" xr:uid="{00000000-0002-0000-0000-000000000000}">
      <formula1>"يناير,فبراير,مارس,أبريل,مايو,يونيو,يوليو,أغسطس,سبتمبر,أكتوبر,نوفمبر,ديسمبر"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showGridLines="0" rightToLeft="1" zoomScaleNormal="100" workbookViewId="0">
      <selection activeCell="D26" sqref="D26"/>
    </sheetView>
  </sheetViews>
  <sheetFormatPr baseColWidth="10" defaultColWidth="24.6640625" defaultRowHeight="15" x14ac:dyDescent="0.2"/>
  <sheetData>
    <row r="1" spans="2:6" ht="39.75" customHeight="1" x14ac:dyDescent="0.2">
      <c r="B1" s="127" t="s">
        <v>48</v>
      </c>
      <c r="C1" s="127"/>
      <c r="D1" s="127"/>
      <c r="E1" s="127"/>
      <c r="F1" s="127"/>
    </row>
    <row r="2" spans="2:6" ht="6" customHeight="1" x14ac:dyDescent="0.2"/>
    <row r="3" spans="2:6" ht="13.5" customHeight="1" x14ac:dyDescent="0.2">
      <c r="B3" s="128" t="s">
        <v>49</v>
      </c>
      <c r="C3" s="128"/>
      <c r="D3" s="128"/>
      <c r="E3" s="128"/>
      <c r="F3" s="128"/>
    </row>
    <row r="4" spans="2:6" ht="30" customHeight="1" x14ac:dyDescent="0.2">
      <c r="B4" s="37" t="s">
        <v>20</v>
      </c>
      <c r="C4" s="38" t="s">
        <v>50</v>
      </c>
      <c r="D4" s="38" t="s">
        <v>51</v>
      </c>
      <c r="E4" s="38" t="s">
        <v>52</v>
      </c>
      <c r="F4" s="39"/>
    </row>
    <row r="5" spans="2:6" ht="25.5" customHeight="1" x14ac:dyDescent="0.2">
      <c r="B5" s="40" t="s">
        <v>53</v>
      </c>
      <c r="C5" s="41">
        <v>50</v>
      </c>
      <c r="D5" s="41">
        <v>200</v>
      </c>
      <c r="E5" s="41">
        <v>3500</v>
      </c>
      <c r="F5" s="42"/>
    </row>
    <row r="6" spans="2:6" ht="25.5" customHeight="1" x14ac:dyDescent="0.2">
      <c r="B6" s="43" t="s">
        <v>54</v>
      </c>
      <c r="C6" s="41">
        <v>40</v>
      </c>
      <c r="D6" s="41">
        <v>150</v>
      </c>
      <c r="E6" s="41">
        <v>2500</v>
      </c>
      <c r="F6" s="44"/>
    </row>
    <row r="7" spans="2:6" ht="25.5" customHeight="1" x14ac:dyDescent="0.2">
      <c r="B7" s="45" t="s">
        <v>55</v>
      </c>
      <c r="C7" s="41">
        <v>200</v>
      </c>
      <c r="D7" s="41">
        <v>600</v>
      </c>
      <c r="E7" s="41"/>
      <c r="F7" s="46"/>
    </row>
    <row r="8" spans="2:6" ht="7.5" customHeight="1" x14ac:dyDescent="0.2">
      <c r="B8" s="129"/>
      <c r="C8" s="129"/>
      <c r="D8" s="129"/>
    </row>
    <row r="9" spans="2:6" ht="25.5" customHeight="1" x14ac:dyDescent="0.2">
      <c r="B9" s="6" t="s">
        <v>56</v>
      </c>
      <c r="C9" s="6"/>
      <c r="D9" s="6"/>
      <c r="E9" s="6"/>
      <c r="F9" s="6"/>
    </row>
    <row r="10" spans="2:6" ht="24" customHeight="1" x14ac:dyDescent="0.2">
      <c r="B10" s="17" t="s">
        <v>57</v>
      </c>
      <c r="C10" s="130">
        <v>0.2</v>
      </c>
      <c r="D10" s="130"/>
      <c r="E10" s="131"/>
      <c r="F10" s="131"/>
    </row>
    <row r="11" spans="2:6" ht="24" customHeight="1" x14ac:dyDescent="0.2">
      <c r="B11" s="47" t="s">
        <v>58</v>
      </c>
      <c r="C11" s="132">
        <v>100</v>
      </c>
      <c r="D11" s="132"/>
      <c r="E11" s="133"/>
      <c r="F11" s="133"/>
    </row>
    <row r="12" spans="2:6" ht="24" customHeight="1" x14ac:dyDescent="0.2">
      <c r="B12" s="134" t="s">
        <v>59</v>
      </c>
      <c r="C12" s="134"/>
      <c r="D12" s="134"/>
      <c r="E12" s="131"/>
      <c r="F12" s="131"/>
    </row>
    <row r="13" spans="2:6" ht="24" customHeight="1" x14ac:dyDescent="0.2">
      <c r="B13" s="47" t="s">
        <v>60</v>
      </c>
      <c r="C13" s="132">
        <v>8</v>
      </c>
      <c r="D13" s="132"/>
      <c r="E13" s="133"/>
      <c r="F13" s="133"/>
    </row>
    <row r="14" spans="2:6" ht="7.5" customHeight="1" x14ac:dyDescent="0.2"/>
    <row r="15" spans="2:6" ht="25.5" customHeight="1" x14ac:dyDescent="0.2">
      <c r="B15" s="135" t="s">
        <v>61</v>
      </c>
      <c r="C15" s="135"/>
      <c r="D15" s="135"/>
      <c r="E15" s="135"/>
      <c r="F15" s="135"/>
    </row>
    <row r="16" spans="2:6" ht="27.75" customHeight="1" x14ac:dyDescent="0.2">
      <c r="B16" s="21" t="s">
        <v>20</v>
      </c>
      <c r="C16" s="48" t="s">
        <v>62</v>
      </c>
      <c r="D16" s="48" t="s">
        <v>63</v>
      </c>
      <c r="E16" s="48" t="s">
        <v>64</v>
      </c>
      <c r="F16" s="39"/>
    </row>
    <row r="17" spans="2:6" ht="24" customHeight="1" x14ac:dyDescent="0.2">
      <c r="B17" s="49" t="s">
        <v>53</v>
      </c>
      <c r="C17" s="50">
        <f>C5*C12*C13</f>
        <v>0</v>
      </c>
      <c r="D17" s="50">
        <f>D5*C12</f>
        <v>0</v>
      </c>
      <c r="E17" s="51">
        <f>E5</f>
        <v>3500</v>
      </c>
      <c r="F17" s="42"/>
    </row>
    <row r="18" spans="2:6" ht="24" customHeight="1" x14ac:dyDescent="0.2">
      <c r="B18" s="52" t="s">
        <v>54</v>
      </c>
      <c r="C18" s="50">
        <f>C6*C12*C13</f>
        <v>0</v>
      </c>
      <c r="D18" s="50">
        <f>D6*C12</f>
        <v>0</v>
      </c>
      <c r="E18" s="53">
        <f>E6</f>
        <v>2500</v>
      </c>
      <c r="F18" s="44"/>
    </row>
    <row r="19" spans="2:6" ht="24" customHeight="1" x14ac:dyDescent="0.2">
      <c r="B19" s="54" t="s">
        <v>55</v>
      </c>
      <c r="C19" s="50">
        <f>C7*C12*C13</f>
        <v>0</v>
      </c>
      <c r="D19" s="50">
        <f>D7*C12</f>
        <v>0</v>
      </c>
      <c r="E19" s="55" t="str">
        <f>IF(E7=0,"—",E7)</f>
        <v>—</v>
      </c>
      <c r="F19" s="46"/>
    </row>
    <row r="20" spans="2:6" ht="7.5" customHeight="1" x14ac:dyDescent="0.2"/>
    <row r="21" spans="2:6" ht="25.5" customHeight="1" x14ac:dyDescent="0.2">
      <c r="B21" s="135" t="s">
        <v>65</v>
      </c>
      <c r="C21" s="135"/>
      <c r="D21" s="135"/>
      <c r="E21" s="136" t="s">
        <v>66</v>
      </c>
      <c r="F21" s="136"/>
    </row>
  </sheetData>
  <sheetProtection formatCells="0"/>
  <mergeCells count="15">
    <mergeCell ref="B15:F15"/>
    <mergeCell ref="B21:D21"/>
    <mergeCell ref="E21:F21"/>
    <mergeCell ref="C11:D11"/>
    <mergeCell ref="E11:F11"/>
    <mergeCell ref="B12:D12"/>
    <mergeCell ref="E12:F12"/>
    <mergeCell ref="C13:D13"/>
    <mergeCell ref="E13:F13"/>
    <mergeCell ref="B1:F1"/>
    <mergeCell ref="B3:F3"/>
    <mergeCell ref="B8:D8"/>
    <mergeCell ref="B9:F9"/>
    <mergeCell ref="C10:D10"/>
    <mergeCell ref="E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04"/>
  <sheetViews>
    <sheetView showGridLines="0" rightToLeft="1" zoomScaleNormal="100" workbookViewId="0">
      <selection activeCell="E14" sqref="E14"/>
    </sheetView>
  </sheetViews>
  <sheetFormatPr baseColWidth="10" defaultColWidth="19.83203125" defaultRowHeight="15" x14ac:dyDescent="0.2"/>
  <sheetData>
    <row r="1" spans="2:12" ht="37.5" customHeight="1" x14ac:dyDescent="0.2">
      <c r="B1" s="14" t="s">
        <v>67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70</v>
      </c>
      <c r="E3" s="21" t="s">
        <v>71</v>
      </c>
      <c r="F3" s="21" t="s">
        <v>72</v>
      </c>
      <c r="G3" s="21" t="s">
        <v>73</v>
      </c>
      <c r="H3" s="21" t="s">
        <v>20</v>
      </c>
      <c r="I3" s="21" t="s">
        <v>74</v>
      </c>
      <c r="J3" s="21" t="s">
        <v>75</v>
      </c>
      <c r="K3" s="21" t="s">
        <v>76</v>
      </c>
      <c r="L3" s="21" t="s">
        <v>77</v>
      </c>
    </row>
    <row r="4" spans="2:12" ht="19.5" customHeight="1" x14ac:dyDescent="0.2">
      <c r="B4" s="27">
        <v>1</v>
      </c>
      <c r="C4" s="56" t="s">
        <v>78</v>
      </c>
      <c r="D4" s="56" t="s">
        <v>79</v>
      </c>
      <c r="E4" s="57" t="s">
        <v>80</v>
      </c>
      <c r="F4" s="57"/>
      <c r="G4" s="57" t="s">
        <v>81</v>
      </c>
      <c r="H4" s="57" t="s">
        <v>82</v>
      </c>
      <c r="I4" s="57" t="s">
        <v>83</v>
      </c>
      <c r="J4" s="58">
        <v>3500</v>
      </c>
      <c r="K4" s="59"/>
      <c r="L4" s="56"/>
    </row>
    <row r="5" spans="2:12" ht="19.5" customHeight="1" x14ac:dyDescent="0.2">
      <c r="B5" s="22">
        <v>2</v>
      </c>
      <c r="C5" s="56" t="s">
        <v>84</v>
      </c>
      <c r="D5" s="56" t="s">
        <v>85</v>
      </c>
      <c r="E5" s="57" t="s">
        <v>86</v>
      </c>
      <c r="F5" s="57"/>
      <c r="G5" s="57" t="s">
        <v>81</v>
      </c>
      <c r="H5" s="57" t="s">
        <v>82</v>
      </c>
      <c r="I5" s="57" t="s">
        <v>83</v>
      </c>
      <c r="J5" s="58">
        <v>3500</v>
      </c>
      <c r="K5" s="59"/>
      <c r="L5" s="56"/>
    </row>
    <row r="6" spans="2:12" ht="19.5" customHeight="1" x14ac:dyDescent="0.2">
      <c r="B6" s="27">
        <v>3</v>
      </c>
      <c r="C6" s="56" t="s">
        <v>87</v>
      </c>
      <c r="D6" s="56" t="s">
        <v>88</v>
      </c>
      <c r="E6" s="57" t="s">
        <v>89</v>
      </c>
      <c r="F6" s="57"/>
      <c r="G6" s="57" t="s">
        <v>81</v>
      </c>
      <c r="H6" s="57" t="s">
        <v>90</v>
      </c>
      <c r="I6" s="57" t="s">
        <v>90</v>
      </c>
      <c r="J6" s="58">
        <v>800</v>
      </c>
      <c r="K6" s="59"/>
      <c r="L6" s="56"/>
    </row>
    <row r="7" spans="2:12" ht="19.5" customHeight="1" x14ac:dyDescent="0.2">
      <c r="B7" s="22">
        <v>4</v>
      </c>
      <c r="C7" s="56" t="s">
        <v>91</v>
      </c>
      <c r="D7" s="56" t="s">
        <v>92</v>
      </c>
      <c r="E7" s="57" t="s">
        <v>93</v>
      </c>
      <c r="F7" s="57"/>
      <c r="G7" s="57" t="s">
        <v>81</v>
      </c>
      <c r="H7" s="57" t="s">
        <v>94</v>
      </c>
      <c r="I7" s="57" t="s">
        <v>95</v>
      </c>
      <c r="J7" s="58">
        <v>200</v>
      </c>
      <c r="K7" s="59"/>
      <c r="L7" s="56"/>
    </row>
    <row r="8" spans="2:12" ht="19.5" customHeight="1" x14ac:dyDescent="0.2">
      <c r="B8" s="27">
        <v>5</v>
      </c>
      <c r="C8" s="56" t="s">
        <v>96</v>
      </c>
      <c r="D8" s="56" t="s">
        <v>97</v>
      </c>
      <c r="E8" s="57" t="s">
        <v>98</v>
      </c>
      <c r="F8" s="57"/>
      <c r="G8" s="57" t="s">
        <v>81</v>
      </c>
      <c r="H8" s="57" t="s">
        <v>82</v>
      </c>
      <c r="I8" s="57" t="s">
        <v>83</v>
      </c>
      <c r="J8" s="58">
        <v>3500</v>
      </c>
      <c r="K8" s="59"/>
      <c r="L8" s="56"/>
    </row>
    <row r="9" spans="2:12" ht="19.5" customHeight="1" x14ac:dyDescent="0.2">
      <c r="B9" s="22">
        <v>6</v>
      </c>
      <c r="C9" s="56" t="s">
        <v>99</v>
      </c>
      <c r="D9" s="56" t="s">
        <v>100</v>
      </c>
      <c r="E9" s="57" t="s">
        <v>101</v>
      </c>
      <c r="F9" s="57"/>
      <c r="G9" s="57" t="s">
        <v>81</v>
      </c>
      <c r="H9" s="57" t="s">
        <v>90</v>
      </c>
      <c r="I9" s="57" t="s">
        <v>90</v>
      </c>
      <c r="J9" s="58">
        <v>800</v>
      </c>
      <c r="K9" s="59"/>
      <c r="L9" s="56"/>
    </row>
    <row r="10" spans="2:12" ht="19.5" customHeight="1" x14ac:dyDescent="0.2">
      <c r="B10" s="27">
        <v>7</v>
      </c>
      <c r="C10" s="56" t="s">
        <v>102</v>
      </c>
      <c r="D10" s="56" t="s">
        <v>103</v>
      </c>
      <c r="E10" s="57" t="s">
        <v>104</v>
      </c>
      <c r="F10" s="57"/>
      <c r="G10" s="57" t="s">
        <v>81</v>
      </c>
      <c r="H10" s="57" t="s">
        <v>82</v>
      </c>
      <c r="I10" s="57" t="s">
        <v>83</v>
      </c>
      <c r="J10" s="58">
        <v>3500</v>
      </c>
      <c r="K10" s="59"/>
      <c r="L10" s="56"/>
    </row>
    <row r="11" spans="2:12" ht="19.5" customHeight="1" x14ac:dyDescent="0.2">
      <c r="B11" s="22">
        <v>8</v>
      </c>
      <c r="C11" s="56" t="s">
        <v>105</v>
      </c>
      <c r="D11" s="56" t="s">
        <v>106</v>
      </c>
      <c r="E11" s="57" t="s">
        <v>107</v>
      </c>
      <c r="F11" s="57"/>
      <c r="G11" s="57" t="s">
        <v>81</v>
      </c>
      <c r="H11" s="57" t="s">
        <v>94</v>
      </c>
      <c r="I11" s="57" t="s">
        <v>95</v>
      </c>
      <c r="J11" s="58">
        <v>200</v>
      </c>
      <c r="K11" s="59"/>
      <c r="L11" s="56"/>
    </row>
    <row r="12" spans="2:12" ht="19.5" customHeight="1" x14ac:dyDescent="0.2">
      <c r="B12" s="27">
        <v>9</v>
      </c>
      <c r="C12" s="56" t="s">
        <v>108</v>
      </c>
      <c r="D12" s="56" t="s">
        <v>109</v>
      </c>
      <c r="E12" s="57" t="s">
        <v>110</v>
      </c>
      <c r="F12" s="57"/>
      <c r="G12" s="57" t="s">
        <v>81</v>
      </c>
      <c r="H12" s="57" t="s">
        <v>82</v>
      </c>
      <c r="I12" s="57" t="s">
        <v>83</v>
      </c>
      <c r="J12" s="58">
        <v>3500</v>
      </c>
      <c r="K12" s="59"/>
      <c r="L12" s="56"/>
    </row>
    <row r="13" spans="2:12" ht="19.5" customHeight="1" x14ac:dyDescent="0.2">
      <c r="B13" s="22">
        <v>10</v>
      </c>
      <c r="C13" s="56" t="s">
        <v>111</v>
      </c>
      <c r="D13" s="56" t="s">
        <v>112</v>
      </c>
      <c r="E13" s="57" t="s">
        <v>113</v>
      </c>
      <c r="F13" s="57"/>
      <c r="G13" s="57" t="s">
        <v>114</v>
      </c>
      <c r="H13" s="57" t="s">
        <v>90</v>
      </c>
      <c r="I13" s="57" t="s">
        <v>90</v>
      </c>
      <c r="J13" s="58">
        <v>800</v>
      </c>
      <c r="K13" s="59"/>
      <c r="L13" s="56"/>
    </row>
    <row r="14" spans="2:12" ht="19.5" customHeight="1" x14ac:dyDescent="0.2">
      <c r="B14" s="27">
        <v>11</v>
      </c>
      <c r="C14" s="56" t="s">
        <v>115</v>
      </c>
      <c r="D14" s="56" t="s">
        <v>116</v>
      </c>
      <c r="E14" s="57" t="s">
        <v>117</v>
      </c>
      <c r="F14" s="57"/>
      <c r="G14" s="57" t="s">
        <v>114</v>
      </c>
      <c r="H14" s="57" t="s">
        <v>82</v>
      </c>
      <c r="I14" s="57" t="s">
        <v>83</v>
      </c>
      <c r="J14" s="58">
        <v>3500</v>
      </c>
      <c r="K14" s="59"/>
      <c r="L14" s="56"/>
    </row>
    <row r="15" spans="2:12" ht="19.5" customHeight="1" x14ac:dyDescent="0.2">
      <c r="B15" s="22">
        <v>12</v>
      </c>
      <c r="C15" s="56" t="s">
        <v>118</v>
      </c>
      <c r="D15" s="56" t="s">
        <v>119</v>
      </c>
      <c r="E15" s="57" t="s">
        <v>120</v>
      </c>
      <c r="F15" s="57"/>
      <c r="G15" s="57" t="s">
        <v>114</v>
      </c>
      <c r="H15" s="57" t="s">
        <v>82</v>
      </c>
      <c r="I15" s="57" t="s">
        <v>83</v>
      </c>
      <c r="J15" s="58">
        <v>3500</v>
      </c>
      <c r="K15" s="59"/>
      <c r="L15" s="56"/>
    </row>
    <row r="16" spans="2:12" ht="19.5" customHeight="1" x14ac:dyDescent="0.2">
      <c r="B16" s="27">
        <v>13</v>
      </c>
      <c r="C16" s="56" t="s">
        <v>121</v>
      </c>
      <c r="D16" s="56" t="s">
        <v>122</v>
      </c>
      <c r="E16" s="57" t="s">
        <v>123</v>
      </c>
      <c r="F16" s="57"/>
      <c r="G16" s="57" t="s">
        <v>114</v>
      </c>
      <c r="H16" s="57" t="s">
        <v>90</v>
      </c>
      <c r="I16" s="57" t="s">
        <v>90</v>
      </c>
      <c r="J16" s="58">
        <v>800</v>
      </c>
      <c r="K16" s="59"/>
      <c r="L16" s="56"/>
    </row>
    <row r="17" spans="2:12" ht="19.5" customHeight="1" x14ac:dyDescent="0.2">
      <c r="B17" s="22">
        <v>14</v>
      </c>
      <c r="C17" s="56" t="s">
        <v>124</v>
      </c>
      <c r="D17" s="56" t="s">
        <v>125</v>
      </c>
      <c r="E17" s="57" t="s">
        <v>126</v>
      </c>
      <c r="F17" s="57"/>
      <c r="G17" s="57" t="s">
        <v>114</v>
      </c>
      <c r="H17" s="57" t="s">
        <v>94</v>
      </c>
      <c r="I17" s="57" t="s">
        <v>95</v>
      </c>
      <c r="J17" s="58">
        <v>200</v>
      </c>
      <c r="K17" s="59"/>
      <c r="L17" s="56"/>
    </row>
    <row r="18" spans="2:12" ht="19.5" customHeight="1" x14ac:dyDescent="0.2">
      <c r="B18" s="27">
        <v>15</v>
      </c>
      <c r="C18" s="56" t="s">
        <v>127</v>
      </c>
      <c r="D18" s="56" t="s">
        <v>128</v>
      </c>
      <c r="E18" s="57" t="s">
        <v>129</v>
      </c>
      <c r="F18" s="57"/>
      <c r="G18" s="57" t="s">
        <v>114</v>
      </c>
      <c r="H18" s="57" t="s">
        <v>82</v>
      </c>
      <c r="I18" s="57" t="s">
        <v>83</v>
      </c>
      <c r="J18" s="58">
        <v>3500</v>
      </c>
      <c r="K18" s="59"/>
      <c r="L18" s="56"/>
    </row>
    <row r="19" spans="2:12" ht="19.5" customHeight="1" x14ac:dyDescent="0.2">
      <c r="B19" s="22">
        <v>16</v>
      </c>
      <c r="C19" s="56" t="s">
        <v>130</v>
      </c>
      <c r="D19" s="56" t="s">
        <v>131</v>
      </c>
      <c r="E19" s="57" t="s">
        <v>132</v>
      </c>
      <c r="F19" s="57"/>
      <c r="G19" s="57" t="s">
        <v>114</v>
      </c>
      <c r="H19" s="57" t="s">
        <v>90</v>
      </c>
      <c r="I19" s="57" t="s">
        <v>90</v>
      </c>
      <c r="J19" s="58">
        <v>800</v>
      </c>
      <c r="K19" s="59"/>
      <c r="L19" s="56"/>
    </row>
    <row r="20" spans="2:12" ht="19.5" customHeight="1" x14ac:dyDescent="0.2">
      <c r="B20" s="27">
        <v>17</v>
      </c>
      <c r="C20" s="56" t="s">
        <v>133</v>
      </c>
      <c r="D20" s="56" t="s">
        <v>134</v>
      </c>
      <c r="E20" s="57" t="s">
        <v>135</v>
      </c>
      <c r="F20" s="57"/>
      <c r="G20" s="57" t="s">
        <v>114</v>
      </c>
      <c r="H20" s="57" t="s">
        <v>82</v>
      </c>
      <c r="I20" s="57" t="s">
        <v>83</v>
      </c>
      <c r="J20" s="58">
        <v>3500</v>
      </c>
      <c r="K20" s="59"/>
      <c r="L20" s="56"/>
    </row>
    <row r="21" spans="2:12" ht="19.5" customHeight="1" x14ac:dyDescent="0.2">
      <c r="B21" s="22">
        <v>18</v>
      </c>
      <c r="C21" s="56" t="s">
        <v>136</v>
      </c>
      <c r="D21" s="56" t="s">
        <v>137</v>
      </c>
      <c r="E21" s="57" t="s">
        <v>138</v>
      </c>
      <c r="F21" s="57"/>
      <c r="G21" s="57" t="s">
        <v>114</v>
      </c>
      <c r="H21" s="57" t="s">
        <v>94</v>
      </c>
      <c r="I21" s="57" t="s">
        <v>95</v>
      </c>
      <c r="J21" s="58">
        <v>200</v>
      </c>
      <c r="K21" s="59"/>
      <c r="L21" s="56"/>
    </row>
    <row r="22" spans="2:12" ht="19.5" customHeight="1" x14ac:dyDescent="0.2">
      <c r="B22" s="27">
        <v>19</v>
      </c>
      <c r="C22" s="56" t="s">
        <v>139</v>
      </c>
      <c r="D22" s="56" t="s">
        <v>140</v>
      </c>
      <c r="E22" s="57" t="s">
        <v>141</v>
      </c>
      <c r="F22" s="57"/>
      <c r="G22" s="57" t="s">
        <v>114</v>
      </c>
      <c r="H22" s="57" t="s">
        <v>82</v>
      </c>
      <c r="I22" s="57" t="s">
        <v>83</v>
      </c>
      <c r="J22" s="58">
        <v>3500</v>
      </c>
      <c r="K22" s="59"/>
      <c r="L22" s="56"/>
    </row>
    <row r="23" spans="2:12" ht="19.5" customHeight="1" x14ac:dyDescent="0.2">
      <c r="B23" s="22">
        <v>20</v>
      </c>
      <c r="C23" s="56" t="s">
        <v>142</v>
      </c>
      <c r="D23" s="56" t="s">
        <v>143</v>
      </c>
      <c r="E23" s="57" t="s">
        <v>144</v>
      </c>
      <c r="F23" s="57"/>
      <c r="G23" s="57" t="s">
        <v>145</v>
      </c>
      <c r="H23" s="57" t="s">
        <v>90</v>
      </c>
      <c r="I23" s="57" t="s">
        <v>90</v>
      </c>
      <c r="J23" s="58">
        <v>800</v>
      </c>
      <c r="K23" s="59"/>
      <c r="L23" s="56"/>
    </row>
    <row r="24" spans="2:12" ht="19.5" customHeight="1" x14ac:dyDescent="0.2">
      <c r="B24" s="27">
        <v>21</v>
      </c>
      <c r="C24" s="56" t="s">
        <v>146</v>
      </c>
      <c r="D24" s="56" t="s">
        <v>147</v>
      </c>
      <c r="E24" s="57" t="s">
        <v>148</v>
      </c>
      <c r="F24" s="57"/>
      <c r="G24" s="57" t="s">
        <v>145</v>
      </c>
      <c r="H24" s="57" t="s">
        <v>82</v>
      </c>
      <c r="I24" s="57" t="s">
        <v>83</v>
      </c>
      <c r="J24" s="58">
        <v>3500</v>
      </c>
      <c r="K24" s="59"/>
      <c r="L24" s="56"/>
    </row>
    <row r="25" spans="2:12" ht="19.5" customHeight="1" x14ac:dyDescent="0.2">
      <c r="B25" s="22">
        <v>22</v>
      </c>
      <c r="C25" s="56" t="s">
        <v>149</v>
      </c>
      <c r="D25" s="56" t="s">
        <v>150</v>
      </c>
      <c r="E25" s="57" t="s">
        <v>151</v>
      </c>
      <c r="F25" s="57"/>
      <c r="G25" s="57" t="s">
        <v>145</v>
      </c>
      <c r="H25" s="57" t="s">
        <v>82</v>
      </c>
      <c r="I25" s="57" t="s">
        <v>83</v>
      </c>
      <c r="J25" s="58">
        <v>3500</v>
      </c>
      <c r="K25" s="59"/>
      <c r="L25" s="56"/>
    </row>
    <row r="26" spans="2:12" ht="19.5" customHeight="1" x14ac:dyDescent="0.2">
      <c r="B26" s="27">
        <v>23</v>
      </c>
      <c r="C26" s="56" t="s">
        <v>152</v>
      </c>
      <c r="D26" s="56" t="s">
        <v>153</v>
      </c>
      <c r="E26" s="57" t="s">
        <v>154</v>
      </c>
      <c r="F26" s="57"/>
      <c r="G26" s="57" t="s">
        <v>145</v>
      </c>
      <c r="H26" s="57" t="s">
        <v>90</v>
      </c>
      <c r="I26" s="57" t="s">
        <v>90</v>
      </c>
      <c r="J26" s="58">
        <v>800</v>
      </c>
      <c r="K26" s="59"/>
      <c r="L26" s="56"/>
    </row>
    <row r="27" spans="2:12" ht="19.5" customHeight="1" x14ac:dyDescent="0.2">
      <c r="B27" s="22">
        <v>24</v>
      </c>
      <c r="C27" s="56" t="s">
        <v>155</v>
      </c>
      <c r="D27" s="56" t="s">
        <v>156</v>
      </c>
      <c r="E27" s="57" t="s">
        <v>157</v>
      </c>
      <c r="F27" s="57"/>
      <c r="G27" s="57" t="s">
        <v>145</v>
      </c>
      <c r="H27" s="57" t="s">
        <v>94</v>
      </c>
      <c r="I27" s="57" t="s">
        <v>95</v>
      </c>
      <c r="J27" s="58">
        <v>200</v>
      </c>
      <c r="K27" s="59"/>
      <c r="L27" s="56"/>
    </row>
    <row r="28" spans="2:12" ht="19.5" customHeight="1" x14ac:dyDescent="0.2">
      <c r="B28" s="27">
        <v>25</v>
      </c>
      <c r="C28" s="56" t="s">
        <v>158</v>
      </c>
      <c r="D28" s="56" t="s">
        <v>159</v>
      </c>
      <c r="E28" s="57" t="s">
        <v>160</v>
      </c>
      <c r="F28" s="57"/>
      <c r="G28" s="57" t="s">
        <v>145</v>
      </c>
      <c r="H28" s="57" t="s">
        <v>82</v>
      </c>
      <c r="I28" s="57" t="s">
        <v>83</v>
      </c>
      <c r="J28" s="58">
        <v>3500</v>
      </c>
      <c r="K28" s="59"/>
      <c r="L28" s="56"/>
    </row>
    <row r="29" spans="2:12" ht="19.5" customHeight="1" x14ac:dyDescent="0.2">
      <c r="B29" s="22">
        <v>26</v>
      </c>
      <c r="C29" s="56" t="s">
        <v>161</v>
      </c>
      <c r="D29" s="56" t="s">
        <v>162</v>
      </c>
      <c r="E29" s="57" t="s">
        <v>163</v>
      </c>
      <c r="F29" s="57"/>
      <c r="G29" s="57" t="s">
        <v>145</v>
      </c>
      <c r="H29" s="57" t="s">
        <v>90</v>
      </c>
      <c r="I29" s="57" t="s">
        <v>90</v>
      </c>
      <c r="J29" s="58">
        <v>800</v>
      </c>
      <c r="K29" s="59"/>
      <c r="L29" s="56"/>
    </row>
    <row r="30" spans="2:12" ht="19.5" customHeight="1" x14ac:dyDescent="0.2">
      <c r="B30" s="27">
        <v>27</v>
      </c>
      <c r="C30" s="56" t="s">
        <v>164</v>
      </c>
      <c r="D30" s="56" t="s">
        <v>165</v>
      </c>
      <c r="E30" s="57" t="s">
        <v>166</v>
      </c>
      <c r="F30" s="57"/>
      <c r="G30" s="57" t="s">
        <v>145</v>
      </c>
      <c r="H30" s="57" t="s">
        <v>82</v>
      </c>
      <c r="I30" s="57" t="s">
        <v>83</v>
      </c>
      <c r="J30" s="58">
        <v>3500</v>
      </c>
      <c r="K30" s="59"/>
      <c r="L30" s="56"/>
    </row>
    <row r="31" spans="2:12" ht="19.5" customHeight="1" x14ac:dyDescent="0.2">
      <c r="B31" s="22">
        <v>28</v>
      </c>
      <c r="C31" s="56" t="s">
        <v>167</v>
      </c>
      <c r="D31" s="56" t="s">
        <v>168</v>
      </c>
      <c r="E31" s="57" t="s">
        <v>169</v>
      </c>
      <c r="F31" s="57"/>
      <c r="G31" s="57" t="s">
        <v>145</v>
      </c>
      <c r="H31" s="57" t="s">
        <v>94</v>
      </c>
      <c r="I31" s="57" t="s">
        <v>95</v>
      </c>
      <c r="J31" s="58">
        <v>200</v>
      </c>
      <c r="K31" s="59"/>
      <c r="L31" s="56"/>
    </row>
    <row r="32" spans="2:12" ht="19.5" customHeight="1" x14ac:dyDescent="0.2">
      <c r="B32" s="27">
        <v>29</v>
      </c>
      <c r="C32" s="56" t="s">
        <v>170</v>
      </c>
      <c r="D32" s="56" t="s">
        <v>171</v>
      </c>
      <c r="E32" s="57" t="s">
        <v>172</v>
      </c>
      <c r="F32" s="57"/>
      <c r="G32" s="57" t="s">
        <v>145</v>
      </c>
      <c r="H32" s="57" t="s">
        <v>82</v>
      </c>
      <c r="I32" s="57" t="s">
        <v>83</v>
      </c>
      <c r="J32" s="58">
        <v>3500</v>
      </c>
      <c r="K32" s="59"/>
      <c r="L32" s="56"/>
    </row>
    <row r="33" spans="2:12" ht="19.5" customHeight="1" x14ac:dyDescent="0.2">
      <c r="B33" s="22">
        <v>30</v>
      </c>
      <c r="C33" s="56" t="s">
        <v>173</v>
      </c>
      <c r="D33" s="56" t="s">
        <v>174</v>
      </c>
      <c r="E33" s="57" t="s">
        <v>175</v>
      </c>
      <c r="F33" s="57"/>
      <c r="G33" s="57" t="s">
        <v>176</v>
      </c>
      <c r="H33" s="57" t="s">
        <v>90</v>
      </c>
      <c r="I33" s="57" t="s">
        <v>90</v>
      </c>
      <c r="J33" s="58">
        <v>800</v>
      </c>
      <c r="K33" s="59"/>
      <c r="L33" s="56"/>
    </row>
    <row r="34" spans="2:12" ht="19.5" customHeight="1" x14ac:dyDescent="0.2">
      <c r="B34" s="27">
        <v>31</v>
      </c>
      <c r="C34" s="56" t="s">
        <v>177</v>
      </c>
      <c r="D34" s="56" t="s">
        <v>178</v>
      </c>
      <c r="E34" s="57" t="s">
        <v>179</v>
      </c>
      <c r="F34" s="57"/>
      <c r="G34" s="57" t="s">
        <v>176</v>
      </c>
      <c r="H34" s="57" t="s">
        <v>82</v>
      </c>
      <c r="I34" s="57" t="s">
        <v>83</v>
      </c>
      <c r="J34" s="58">
        <v>3500</v>
      </c>
      <c r="K34" s="59"/>
      <c r="L34" s="56"/>
    </row>
    <row r="35" spans="2:12" ht="19.5" customHeight="1" x14ac:dyDescent="0.2">
      <c r="B35" s="22">
        <v>32</v>
      </c>
      <c r="C35" s="56" t="s">
        <v>180</v>
      </c>
      <c r="D35" s="56" t="s">
        <v>181</v>
      </c>
      <c r="E35" s="57" t="s">
        <v>182</v>
      </c>
      <c r="F35" s="57"/>
      <c r="G35" s="57" t="s">
        <v>176</v>
      </c>
      <c r="H35" s="57" t="s">
        <v>82</v>
      </c>
      <c r="I35" s="57" t="s">
        <v>83</v>
      </c>
      <c r="J35" s="58">
        <v>3500</v>
      </c>
      <c r="K35" s="59"/>
      <c r="L35" s="56"/>
    </row>
    <row r="36" spans="2:12" ht="19.5" customHeight="1" x14ac:dyDescent="0.2">
      <c r="B36" s="27">
        <v>33</v>
      </c>
      <c r="C36" s="56" t="s">
        <v>183</v>
      </c>
      <c r="D36" s="56" t="s">
        <v>184</v>
      </c>
      <c r="E36" s="57" t="s">
        <v>185</v>
      </c>
      <c r="F36" s="57"/>
      <c r="G36" s="57" t="s">
        <v>176</v>
      </c>
      <c r="H36" s="57" t="s">
        <v>90</v>
      </c>
      <c r="I36" s="57" t="s">
        <v>90</v>
      </c>
      <c r="J36" s="58">
        <v>800</v>
      </c>
      <c r="K36" s="59"/>
      <c r="L36" s="56"/>
    </row>
    <row r="37" spans="2:12" ht="19.5" customHeight="1" x14ac:dyDescent="0.2">
      <c r="B37" s="22">
        <v>34</v>
      </c>
      <c r="C37" s="56" t="s">
        <v>186</v>
      </c>
      <c r="D37" s="56" t="s">
        <v>187</v>
      </c>
      <c r="E37" s="57" t="s">
        <v>188</v>
      </c>
      <c r="F37" s="57"/>
      <c r="G37" s="57" t="s">
        <v>176</v>
      </c>
      <c r="H37" s="57" t="s">
        <v>94</v>
      </c>
      <c r="I37" s="57" t="s">
        <v>95</v>
      </c>
      <c r="J37" s="58">
        <v>200</v>
      </c>
      <c r="K37" s="59"/>
      <c r="L37" s="56"/>
    </row>
    <row r="38" spans="2:12" ht="19.5" customHeight="1" x14ac:dyDescent="0.2">
      <c r="B38" s="27">
        <v>35</v>
      </c>
      <c r="C38" s="56" t="s">
        <v>189</v>
      </c>
      <c r="D38" s="56" t="s">
        <v>190</v>
      </c>
      <c r="E38" s="57" t="s">
        <v>191</v>
      </c>
      <c r="F38" s="57"/>
      <c r="G38" s="57" t="s">
        <v>176</v>
      </c>
      <c r="H38" s="57" t="s">
        <v>82</v>
      </c>
      <c r="I38" s="57" t="s">
        <v>83</v>
      </c>
      <c r="J38" s="58">
        <v>3500</v>
      </c>
      <c r="K38" s="59"/>
      <c r="L38" s="56"/>
    </row>
    <row r="39" spans="2:12" ht="19.5" customHeight="1" x14ac:dyDescent="0.2">
      <c r="B39" s="22">
        <v>36</v>
      </c>
      <c r="C39" s="56" t="s">
        <v>192</v>
      </c>
      <c r="D39" s="56" t="s">
        <v>193</v>
      </c>
      <c r="E39" s="57" t="s">
        <v>194</v>
      </c>
      <c r="F39" s="57"/>
      <c r="G39" s="57" t="s">
        <v>176</v>
      </c>
      <c r="H39" s="57" t="s">
        <v>90</v>
      </c>
      <c r="I39" s="57" t="s">
        <v>90</v>
      </c>
      <c r="J39" s="58">
        <v>800</v>
      </c>
      <c r="K39" s="59"/>
      <c r="L39" s="56"/>
    </row>
    <row r="40" spans="2:12" ht="19.5" customHeight="1" x14ac:dyDescent="0.2">
      <c r="B40" s="27">
        <v>37</v>
      </c>
      <c r="C40" s="56" t="s">
        <v>195</v>
      </c>
      <c r="D40" s="56" t="s">
        <v>196</v>
      </c>
      <c r="E40" s="57" t="s">
        <v>197</v>
      </c>
      <c r="F40" s="57"/>
      <c r="G40" s="57" t="s">
        <v>176</v>
      </c>
      <c r="H40" s="57" t="s">
        <v>82</v>
      </c>
      <c r="I40" s="57" t="s">
        <v>83</v>
      </c>
      <c r="J40" s="58">
        <v>3500</v>
      </c>
      <c r="K40" s="59"/>
      <c r="L40" s="56"/>
    </row>
    <row r="41" spans="2:12" ht="19.5" customHeight="1" x14ac:dyDescent="0.2">
      <c r="B41" s="22">
        <v>38</v>
      </c>
      <c r="C41" s="56" t="s">
        <v>198</v>
      </c>
      <c r="D41" s="56" t="s">
        <v>199</v>
      </c>
      <c r="E41" s="57" t="s">
        <v>200</v>
      </c>
      <c r="F41" s="57"/>
      <c r="G41" s="57" t="s">
        <v>176</v>
      </c>
      <c r="H41" s="57" t="s">
        <v>94</v>
      </c>
      <c r="I41" s="57" t="s">
        <v>95</v>
      </c>
      <c r="J41" s="58">
        <v>200</v>
      </c>
      <c r="K41" s="59"/>
      <c r="L41" s="56"/>
    </row>
    <row r="42" spans="2:12" ht="19.5" customHeight="1" x14ac:dyDescent="0.2">
      <c r="B42" s="27">
        <v>39</v>
      </c>
      <c r="C42" s="56" t="s">
        <v>201</v>
      </c>
      <c r="D42" s="56" t="s">
        <v>202</v>
      </c>
      <c r="E42" s="57" t="s">
        <v>203</v>
      </c>
      <c r="F42" s="57"/>
      <c r="G42" s="57" t="s">
        <v>176</v>
      </c>
      <c r="H42" s="57" t="s">
        <v>82</v>
      </c>
      <c r="I42" s="57" t="s">
        <v>83</v>
      </c>
      <c r="J42" s="58">
        <v>3500</v>
      </c>
      <c r="K42" s="59"/>
      <c r="L42" s="56"/>
    </row>
    <row r="43" spans="2:12" ht="19.5" customHeight="1" x14ac:dyDescent="0.2">
      <c r="B43" s="22">
        <v>40</v>
      </c>
      <c r="C43" s="56" t="s">
        <v>204</v>
      </c>
      <c r="D43" s="56" t="s">
        <v>205</v>
      </c>
      <c r="E43" s="57" t="s">
        <v>206</v>
      </c>
      <c r="F43" s="57"/>
      <c r="G43" s="57" t="s">
        <v>207</v>
      </c>
      <c r="H43" s="57" t="s">
        <v>90</v>
      </c>
      <c r="I43" s="57" t="s">
        <v>90</v>
      </c>
      <c r="J43" s="58">
        <v>800</v>
      </c>
      <c r="K43" s="59"/>
      <c r="L43" s="56"/>
    </row>
    <row r="44" spans="2:12" ht="19.5" customHeight="1" x14ac:dyDescent="0.2">
      <c r="B44" s="27">
        <v>41</v>
      </c>
      <c r="C44" s="56" t="s">
        <v>208</v>
      </c>
      <c r="D44" s="56" t="s">
        <v>209</v>
      </c>
      <c r="E44" s="57" t="s">
        <v>210</v>
      </c>
      <c r="F44" s="57"/>
      <c r="G44" s="57" t="s">
        <v>207</v>
      </c>
      <c r="H44" s="57" t="s">
        <v>82</v>
      </c>
      <c r="I44" s="57" t="s">
        <v>83</v>
      </c>
      <c r="J44" s="58">
        <v>3500</v>
      </c>
      <c r="K44" s="59"/>
      <c r="L44" s="56"/>
    </row>
    <row r="45" spans="2:12" ht="19.5" customHeight="1" x14ac:dyDescent="0.2">
      <c r="B45" s="22">
        <v>42</v>
      </c>
      <c r="C45" s="56" t="s">
        <v>211</v>
      </c>
      <c r="D45" s="56" t="s">
        <v>212</v>
      </c>
      <c r="E45" s="57" t="s">
        <v>213</v>
      </c>
      <c r="F45" s="57"/>
      <c r="G45" s="57" t="s">
        <v>207</v>
      </c>
      <c r="H45" s="57" t="s">
        <v>82</v>
      </c>
      <c r="I45" s="57" t="s">
        <v>83</v>
      </c>
      <c r="J45" s="58">
        <v>3500</v>
      </c>
      <c r="K45" s="59"/>
      <c r="L45" s="56"/>
    </row>
    <row r="46" spans="2:12" ht="19.5" customHeight="1" x14ac:dyDescent="0.2">
      <c r="B46" s="27">
        <v>43</v>
      </c>
      <c r="C46" s="56" t="s">
        <v>214</v>
      </c>
      <c r="D46" s="56" t="s">
        <v>215</v>
      </c>
      <c r="E46" s="57" t="s">
        <v>216</v>
      </c>
      <c r="F46" s="57"/>
      <c r="G46" s="57" t="s">
        <v>207</v>
      </c>
      <c r="H46" s="57" t="s">
        <v>90</v>
      </c>
      <c r="I46" s="57" t="s">
        <v>90</v>
      </c>
      <c r="J46" s="58">
        <v>800</v>
      </c>
      <c r="K46" s="59"/>
      <c r="L46" s="56"/>
    </row>
    <row r="47" spans="2:12" ht="19.5" customHeight="1" x14ac:dyDescent="0.2">
      <c r="B47" s="22">
        <v>44</v>
      </c>
      <c r="C47" s="56" t="s">
        <v>217</v>
      </c>
      <c r="D47" s="56" t="s">
        <v>218</v>
      </c>
      <c r="E47" s="57" t="s">
        <v>219</v>
      </c>
      <c r="F47" s="57"/>
      <c r="G47" s="57" t="s">
        <v>207</v>
      </c>
      <c r="H47" s="57" t="s">
        <v>94</v>
      </c>
      <c r="I47" s="57" t="s">
        <v>95</v>
      </c>
      <c r="J47" s="58">
        <v>200</v>
      </c>
      <c r="K47" s="59"/>
      <c r="L47" s="56"/>
    </row>
    <row r="48" spans="2:12" ht="19.5" customHeight="1" x14ac:dyDescent="0.2">
      <c r="B48" s="27">
        <v>45</v>
      </c>
      <c r="C48" s="56" t="s">
        <v>220</v>
      </c>
      <c r="D48" s="56" t="s">
        <v>221</v>
      </c>
      <c r="E48" s="57" t="s">
        <v>222</v>
      </c>
      <c r="F48" s="57"/>
      <c r="G48" s="57" t="s">
        <v>207</v>
      </c>
      <c r="H48" s="57" t="s">
        <v>82</v>
      </c>
      <c r="I48" s="57" t="s">
        <v>83</v>
      </c>
      <c r="J48" s="58">
        <v>3500</v>
      </c>
      <c r="K48" s="59"/>
      <c r="L48" s="56"/>
    </row>
    <row r="49" spans="2:12" ht="19.5" customHeight="1" x14ac:dyDescent="0.2">
      <c r="B49" s="22">
        <v>46</v>
      </c>
      <c r="C49" s="56" t="s">
        <v>223</v>
      </c>
      <c r="D49" s="56" t="s">
        <v>224</v>
      </c>
      <c r="E49" s="57" t="s">
        <v>225</v>
      </c>
      <c r="F49" s="57"/>
      <c r="G49" s="57" t="s">
        <v>207</v>
      </c>
      <c r="H49" s="57" t="s">
        <v>90</v>
      </c>
      <c r="I49" s="57" t="s">
        <v>90</v>
      </c>
      <c r="J49" s="58">
        <v>800</v>
      </c>
      <c r="K49" s="59"/>
      <c r="L49" s="56"/>
    </row>
    <row r="50" spans="2:12" ht="19.5" customHeight="1" x14ac:dyDescent="0.2">
      <c r="B50" s="27">
        <v>47</v>
      </c>
      <c r="C50" s="56" t="s">
        <v>226</v>
      </c>
      <c r="D50" s="56" t="s">
        <v>227</v>
      </c>
      <c r="E50" s="57" t="s">
        <v>228</v>
      </c>
      <c r="F50" s="57"/>
      <c r="G50" s="57" t="s">
        <v>207</v>
      </c>
      <c r="H50" s="57" t="s">
        <v>82</v>
      </c>
      <c r="I50" s="57" t="s">
        <v>83</v>
      </c>
      <c r="J50" s="58">
        <v>3500</v>
      </c>
      <c r="K50" s="59"/>
      <c r="L50" s="56"/>
    </row>
    <row r="51" spans="2:12" ht="19.5" customHeight="1" x14ac:dyDescent="0.2">
      <c r="B51" s="22">
        <v>48</v>
      </c>
      <c r="C51" s="56" t="s">
        <v>229</v>
      </c>
      <c r="D51" s="56" t="s">
        <v>230</v>
      </c>
      <c r="E51" s="57" t="s">
        <v>231</v>
      </c>
      <c r="F51" s="57"/>
      <c r="G51" s="57" t="s">
        <v>207</v>
      </c>
      <c r="H51" s="57" t="s">
        <v>94</v>
      </c>
      <c r="I51" s="57" t="s">
        <v>95</v>
      </c>
      <c r="J51" s="58">
        <v>200</v>
      </c>
      <c r="K51" s="59"/>
      <c r="L51" s="56"/>
    </row>
    <row r="52" spans="2:12" ht="19.5" customHeight="1" x14ac:dyDescent="0.2">
      <c r="B52" s="27">
        <v>49</v>
      </c>
      <c r="C52" s="56" t="s">
        <v>232</v>
      </c>
      <c r="D52" s="56" t="s">
        <v>233</v>
      </c>
      <c r="E52" s="57" t="s">
        <v>234</v>
      </c>
      <c r="F52" s="57"/>
      <c r="G52" s="57" t="s">
        <v>207</v>
      </c>
      <c r="H52" s="57" t="s">
        <v>82</v>
      </c>
      <c r="I52" s="57" t="s">
        <v>83</v>
      </c>
      <c r="J52" s="58">
        <v>3500</v>
      </c>
      <c r="K52" s="59"/>
      <c r="L52" s="56"/>
    </row>
    <row r="53" spans="2:12" ht="19.5" customHeight="1" x14ac:dyDescent="0.2">
      <c r="B53" s="22">
        <v>50</v>
      </c>
      <c r="C53" s="56" t="s">
        <v>235</v>
      </c>
      <c r="D53" s="56" t="s">
        <v>236</v>
      </c>
      <c r="E53" s="57" t="s">
        <v>237</v>
      </c>
      <c r="F53" s="57"/>
      <c r="G53" s="57" t="s">
        <v>238</v>
      </c>
      <c r="H53" s="57" t="s">
        <v>90</v>
      </c>
      <c r="I53" s="57" t="s">
        <v>90</v>
      </c>
      <c r="J53" s="58">
        <v>800</v>
      </c>
      <c r="K53" s="59"/>
      <c r="L53" s="56"/>
    </row>
    <row r="54" spans="2:12" ht="19.5" customHeight="1" x14ac:dyDescent="0.2">
      <c r="B54" s="27">
        <v>51</v>
      </c>
      <c r="C54" s="56" t="s">
        <v>239</v>
      </c>
      <c r="D54" s="56" t="s">
        <v>240</v>
      </c>
      <c r="E54" s="57" t="s">
        <v>241</v>
      </c>
      <c r="F54" s="57"/>
      <c r="G54" s="57" t="s">
        <v>238</v>
      </c>
      <c r="H54" s="57" t="s">
        <v>82</v>
      </c>
      <c r="I54" s="57" t="s">
        <v>83</v>
      </c>
      <c r="J54" s="58">
        <v>3500</v>
      </c>
      <c r="K54" s="59"/>
      <c r="L54" s="56"/>
    </row>
    <row r="55" spans="2:12" ht="19.5" customHeight="1" x14ac:dyDescent="0.2">
      <c r="B55" s="22">
        <v>52</v>
      </c>
      <c r="C55" s="56" t="s">
        <v>242</v>
      </c>
      <c r="D55" s="56" t="s">
        <v>243</v>
      </c>
      <c r="E55" s="57" t="s">
        <v>244</v>
      </c>
      <c r="F55" s="57"/>
      <c r="G55" s="57" t="s">
        <v>238</v>
      </c>
      <c r="H55" s="57" t="s">
        <v>82</v>
      </c>
      <c r="I55" s="57" t="s">
        <v>83</v>
      </c>
      <c r="J55" s="58">
        <v>3500</v>
      </c>
      <c r="K55" s="59"/>
      <c r="L55" s="56"/>
    </row>
    <row r="56" spans="2:12" ht="19.5" customHeight="1" x14ac:dyDescent="0.2">
      <c r="B56" s="27">
        <v>53</v>
      </c>
      <c r="C56" s="56" t="s">
        <v>245</v>
      </c>
      <c r="D56" s="56" t="s">
        <v>246</v>
      </c>
      <c r="E56" s="57" t="s">
        <v>247</v>
      </c>
      <c r="F56" s="57"/>
      <c r="G56" s="57" t="s">
        <v>238</v>
      </c>
      <c r="H56" s="57" t="s">
        <v>90</v>
      </c>
      <c r="I56" s="57" t="s">
        <v>90</v>
      </c>
      <c r="J56" s="58">
        <v>800</v>
      </c>
      <c r="K56" s="59"/>
      <c r="L56" s="56"/>
    </row>
    <row r="57" spans="2:12" ht="19.5" customHeight="1" x14ac:dyDescent="0.2">
      <c r="B57" s="22">
        <v>54</v>
      </c>
      <c r="C57" s="56" t="s">
        <v>248</v>
      </c>
      <c r="D57" s="56" t="s">
        <v>249</v>
      </c>
      <c r="E57" s="57" t="s">
        <v>250</v>
      </c>
      <c r="F57" s="57"/>
      <c r="G57" s="57" t="s">
        <v>238</v>
      </c>
      <c r="H57" s="57" t="s">
        <v>94</v>
      </c>
      <c r="I57" s="57" t="s">
        <v>95</v>
      </c>
      <c r="J57" s="58">
        <v>200</v>
      </c>
      <c r="K57" s="59"/>
      <c r="L57" s="56"/>
    </row>
    <row r="58" spans="2:12" ht="19.5" customHeight="1" x14ac:dyDescent="0.2">
      <c r="B58" s="27">
        <v>55</v>
      </c>
      <c r="C58" s="56" t="s">
        <v>251</v>
      </c>
      <c r="D58" s="56" t="s">
        <v>252</v>
      </c>
      <c r="E58" s="57" t="s">
        <v>253</v>
      </c>
      <c r="F58" s="57"/>
      <c r="G58" s="57" t="s">
        <v>238</v>
      </c>
      <c r="H58" s="57" t="s">
        <v>82</v>
      </c>
      <c r="I58" s="57" t="s">
        <v>83</v>
      </c>
      <c r="J58" s="58">
        <v>3500</v>
      </c>
      <c r="K58" s="59"/>
      <c r="L58" s="56"/>
    </row>
    <row r="59" spans="2:12" ht="19.5" customHeight="1" x14ac:dyDescent="0.2">
      <c r="B59" s="22">
        <v>56</v>
      </c>
      <c r="C59" s="56" t="s">
        <v>254</v>
      </c>
      <c r="D59" s="56" t="s">
        <v>255</v>
      </c>
      <c r="E59" s="57" t="s">
        <v>256</v>
      </c>
      <c r="F59" s="57"/>
      <c r="G59" s="57" t="s">
        <v>238</v>
      </c>
      <c r="H59" s="57" t="s">
        <v>90</v>
      </c>
      <c r="I59" s="57" t="s">
        <v>90</v>
      </c>
      <c r="J59" s="58">
        <v>800</v>
      </c>
      <c r="K59" s="59"/>
      <c r="L59" s="56"/>
    </row>
    <row r="60" spans="2:12" ht="19.5" customHeight="1" x14ac:dyDescent="0.2">
      <c r="B60" s="27">
        <v>57</v>
      </c>
      <c r="C60" s="56" t="s">
        <v>257</v>
      </c>
      <c r="D60" s="56" t="s">
        <v>258</v>
      </c>
      <c r="E60" s="57" t="s">
        <v>259</v>
      </c>
      <c r="F60" s="57"/>
      <c r="G60" s="57" t="s">
        <v>238</v>
      </c>
      <c r="H60" s="57" t="s">
        <v>82</v>
      </c>
      <c r="I60" s="57" t="s">
        <v>83</v>
      </c>
      <c r="J60" s="58">
        <v>3500</v>
      </c>
      <c r="K60" s="59"/>
      <c r="L60" s="56"/>
    </row>
    <row r="61" spans="2:12" ht="19.5" customHeight="1" x14ac:dyDescent="0.2">
      <c r="B61" s="22">
        <v>58</v>
      </c>
      <c r="C61" s="56" t="s">
        <v>260</v>
      </c>
      <c r="D61" s="56" t="s">
        <v>261</v>
      </c>
      <c r="E61" s="57" t="s">
        <v>262</v>
      </c>
      <c r="F61" s="57"/>
      <c r="G61" s="57" t="s">
        <v>238</v>
      </c>
      <c r="H61" s="57" t="s">
        <v>94</v>
      </c>
      <c r="I61" s="57" t="s">
        <v>95</v>
      </c>
      <c r="J61" s="58">
        <v>200</v>
      </c>
      <c r="K61" s="59"/>
      <c r="L61" s="56"/>
    </row>
    <row r="62" spans="2:12" ht="19.5" customHeight="1" x14ac:dyDescent="0.2">
      <c r="B62" s="27">
        <v>59</v>
      </c>
      <c r="C62" s="56" t="s">
        <v>263</v>
      </c>
      <c r="D62" s="56" t="s">
        <v>264</v>
      </c>
      <c r="E62" s="57" t="s">
        <v>265</v>
      </c>
      <c r="F62" s="57"/>
      <c r="G62" s="57" t="s">
        <v>238</v>
      </c>
      <c r="H62" s="57" t="s">
        <v>82</v>
      </c>
      <c r="I62" s="57" t="s">
        <v>83</v>
      </c>
      <c r="J62" s="58">
        <v>3500</v>
      </c>
      <c r="K62" s="59"/>
      <c r="L62" s="56"/>
    </row>
    <row r="63" spans="2:12" ht="19.5" customHeight="1" x14ac:dyDescent="0.2">
      <c r="B63" s="22">
        <v>60</v>
      </c>
      <c r="C63" s="56" t="s">
        <v>266</v>
      </c>
      <c r="D63" s="56" t="s">
        <v>267</v>
      </c>
      <c r="E63" s="57" t="s">
        <v>268</v>
      </c>
      <c r="F63" s="57"/>
      <c r="G63" s="57" t="s">
        <v>269</v>
      </c>
      <c r="H63" s="57" t="s">
        <v>90</v>
      </c>
      <c r="I63" s="57" t="s">
        <v>90</v>
      </c>
      <c r="J63" s="58">
        <v>800</v>
      </c>
      <c r="K63" s="59"/>
      <c r="L63" s="56"/>
    </row>
    <row r="64" spans="2:12" ht="19.5" customHeight="1" x14ac:dyDescent="0.2">
      <c r="B64" s="27">
        <v>61</v>
      </c>
      <c r="C64" s="56" t="s">
        <v>270</v>
      </c>
      <c r="D64" s="56" t="s">
        <v>271</v>
      </c>
      <c r="E64" s="57" t="s">
        <v>272</v>
      </c>
      <c r="F64" s="57"/>
      <c r="G64" s="57" t="s">
        <v>269</v>
      </c>
      <c r="H64" s="57" t="s">
        <v>82</v>
      </c>
      <c r="I64" s="57" t="s">
        <v>83</v>
      </c>
      <c r="J64" s="58">
        <v>3500</v>
      </c>
      <c r="K64" s="59"/>
      <c r="L64" s="56"/>
    </row>
    <row r="65" spans="2:12" ht="19.5" customHeight="1" x14ac:dyDescent="0.2">
      <c r="B65" s="22">
        <v>62</v>
      </c>
      <c r="C65" s="56" t="s">
        <v>273</v>
      </c>
      <c r="D65" s="56" t="s">
        <v>274</v>
      </c>
      <c r="E65" s="57" t="s">
        <v>275</v>
      </c>
      <c r="F65" s="57"/>
      <c r="G65" s="57" t="s">
        <v>269</v>
      </c>
      <c r="H65" s="57" t="s">
        <v>82</v>
      </c>
      <c r="I65" s="57" t="s">
        <v>83</v>
      </c>
      <c r="J65" s="58">
        <v>3500</v>
      </c>
      <c r="K65" s="59"/>
      <c r="L65" s="56"/>
    </row>
    <row r="66" spans="2:12" ht="19.5" customHeight="1" x14ac:dyDescent="0.2">
      <c r="B66" s="27">
        <v>63</v>
      </c>
      <c r="C66" s="56" t="s">
        <v>276</v>
      </c>
      <c r="D66" s="56" t="s">
        <v>277</v>
      </c>
      <c r="E66" s="57" t="s">
        <v>278</v>
      </c>
      <c r="F66" s="57"/>
      <c r="G66" s="57" t="s">
        <v>269</v>
      </c>
      <c r="H66" s="57" t="s">
        <v>90</v>
      </c>
      <c r="I66" s="57" t="s">
        <v>90</v>
      </c>
      <c r="J66" s="58">
        <v>800</v>
      </c>
      <c r="K66" s="59"/>
      <c r="L66" s="56"/>
    </row>
    <row r="67" spans="2:12" ht="19.5" customHeight="1" x14ac:dyDescent="0.2">
      <c r="B67" s="22">
        <v>64</v>
      </c>
      <c r="C67" s="56" t="s">
        <v>279</v>
      </c>
      <c r="D67" s="56" t="s">
        <v>280</v>
      </c>
      <c r="E67" s="57" t="s">
        <v>281</v>
      </c>
      <c r="F67" s="57"/>
      <c r="G67" s="57" t="s">
        <v>269</v>
      </c>
      <c r="H67" s="57" t="s">
        <v>94</v>
      </c>
      <c r="I67" s="57" t="s">
        <v>95</v>
      </c>
      <c r="J67" s="58">
        <v>200</v>
      </c>
      <c r="K67" s="59"/>
      <c r="L67" s="56"/>
    </row>
    <row r="68" spans="2:12" ht="19.5" customHeight="1" x14ac:dyDescent="0.2">
      <c r="B68" s="27">
        <v>65</v>
      </c>
      <c r="C68" s="56" t="s">
        <v>282</v>
      </c>
      <c r="D68" s="56" t="s">
        <v>283</v>
      </c>
      <c r="E68" s="57" t="s">
        <v>284</v>
      </c>
      <c r="F68" s="57"/>
      <c r="G68" s="57" t="s">
        <v>269</v>
      </c>
      <c r="H68" s="57" t="s">
        <v>82</v>
      </c>
      <c r="I68" s="57" t="s">
        <v>83</v>
      </c>
      <c r="J68" s="58">
        <v>3500</v>
      </c>
      <c r="K68" s="59"/>
      <c r="L68" s="56"/>
    </row>
    <row r="69" spans="2:12" ht="19.5" customHeight="1" x14ac:dyDescent="0.2">
      <c r="B69" s="22">
        <v>66</v>
      </c>
      <c r="C69" s="56" t="s">
        <v>285</v>
      </c>
      <c r="D69" s="56" t="s">
        <v>286</v>
      </c>
      <c r="E69" s="57" t="s">
        <v>287</v>
      </c>
      <c r="F69" s="57"/>
      <c r="G69" s="57" t="s">
        <v>269</v>
      </c>
      <c r="H69" s="57" t="s">
        <v>90</v>
      </c>
      <c r="I69" s="57" t="s">
        <v>90</v>
      </c>
      <c r="J69" s="58">
        <v>800</v>
      </c>
      <c r="K69" s="59"/>
      <c r="L69" s="56"/>
    </row>
    <row r="70" spans="2:12" ht="19.5" customHeight="1" x14ac:dyDescent="0.2">
      <c r="B70" s="27">
        <v>67</v>
      </c>
      <c r="C70" s="56" t="s">
        <v>288</v>
      </c>
      <c r="D70" s="56" t="s">
        <v>289</v>
      </c>
      <c r="E70" s="57" t="s">
        <v>290</v>
      </c>
      <c r="F70" s="57"/>
      <c r="G70" s="57" t="s">
        <v>269</v>
      </c>
      <c r="H70" s="57" t="s">
        <v>82</v>
      </c>
      <c r="I70" s="57" t="s">
        <v>83</v>
      </c>
      <c r="J70" s="58">
        <v>3500</v>
      </c>
      <c r="K70" s="59"/>
      <c r="L70" s="56"/>
    </row>
    <row r="71" spans="2:12" ht="19.5" customHeight="1" x14ac:dyDescent="0.2">
      <c r="B71" s="22">
        <v>68</v>
      </c>
      <c r="C71" s="56" t="s">
        <v>291</v>
      </c>
      <c r="D71" s="56" t="s">
        <v>292</v>
      </c>
      <c r="E71" s="57" t="s">
        <v>293</v>
      </c>
      <c r="F71" s="57"/>
      <c r="G71" s="57" t="s">
        <v>269</v>
      </c>
      <c r="H71" s="57" t="s">
        <v>94</v>
      </c>
      <c r="I71" s="57" t="s">
        <v>95</v>
      </c>
      <c r="J71" s="58">
        <v>200</v>
      </c>
      <c r="K71" s="59"/>
      <c r="L71" s="56"/>
    </row>
    <row r="72" spans="2:12" ht="19.5" customHeight="1" x14ac:dyDescent="0.2">
      <c r="B72" s="27">
        <v>69</v>
      </c>
      <c r="C72" s="56" t="s">
        <v>294</v>
      </c>
      <c r="D72" s="56" t="s">
        <v>295</v>
      </c>
      <c r="E72" s="57" t="s">
        <v>296</v>
      </c>
      <c r="F72" s="57"/>
      <c r="G72" s="57" t="s">
        <v>269</v>
      </c>
      <c r="H72" s="57" t="s">
        <v>82</v>
      </c>
      <c r="I72" s="57" t="s">
        <v>83</v>
      </c>
      <c r="J72" s="58">
        <v>3500</v>
      </c>
      <c r="K72" s="59"/>
      <c r="L72" s="56"/>
    </row>
    <row r="73" spans="2:12" ht="19.5" customHeight="1" x14ac:dyDescent="0.2">
      <c r="B73" s="22">
        <v>70</v>
      </c>
      <c r="C73" s="56" t="s">
        <v>297</v>
      </c>
      <c r="D73" s="56" t="s">
        <v>298</v>
      </c>
      <c r="E73" s="57" t="s">
        <v>299</v>
      </c>
      <c r="F73" s="57"/>
      <c r="G73" s="57" t="s">
        <v>300</v>
      </c>
      <c r="H73" s="57" t="s">
        <v>90</v>
      </c>
      <c r="I73" s="57" t="s">
        <v>90</v>
      </c>
      <c r="J73" s="58">
        <v>800</v>
      </c>
      <c r="K73" s="59"/>
      <c r="L73" s="56"/>
    </row>
    <row r="74" spans="2:12" ht="19.5" customHeight="1" x14ac:dyDescent="0.2">
      <c r="B74" s="27">
        <v>71</v>
      </c>
      <c r="C74" s="56" t="s">
        <v>301</v>
      </c>
      <c r="D74" s="56" t="s">
        <v>302</v>
      </c>
      <c r="E74" s="57" t="s">
        <v>303</v>
      </c>
      <c r="F74" s="57"/>
      <c r="G74" s="57" t="s">
        <v>300</v>
      </c>
      <c r="H74" s="57" t="s">
        <v>82</v>
      </c>
      <c r="I74" s="57" t="s">
        <v>83</v>
      </c>
      <c r="J74" s="58">
        <v>3500</v>
      </c>
      <c r="K74" s="59"/>
      <c r="L74" s="56"/>
    </row>
    <row r="75" spans="2:12" ht="19.5" customHeight="1" x14ac:dyDescent="0.2">
      <c r="B75" s="22">
        <v>72</v>
      </c>
      <c r="C75" s="56" t="s">
        <v>304</v>
      </c>
      <c r="D75" s="56" t="s">
        <v>305</v>
      </c>
      <c r="E75" s="57" t="s">
        <v>306</v>
      </c>
      <c r="F75" s="57"/>
      <c r="G75" s="57" t="s">
        <v>300</v>
      </c>
      <c r="H75" s="57" t="s">
        <v>82</v>
      </c>
      <c r="I75" s="57" t="s">
        <v>83</v>
      </c>
      <c r="J75" s="58">
        <v>3500</v>
      </c>
      <c r="K75" s="59"/>
      <c r="L75" s="56"/>
    </row>
    <row r="76" spans="2:12" ht="19.5" customHeight="1" x14ac:dyDescent="0.2">
      <c r="B76" s="27">
        <v>73</v>
      </c>
      <c r="C76" s="56" t="s">
        <v>307</v>
      </c>
      <c r="D76" s="56" t="s">
        <v>308</v>
      </c>
      <c r="E76" s="57" t="s">
        <v>309</v>
      </c>
      <c r="F76" s="57"/>
      <c r="G76" s="57" t="s">
        <v>300</v>
      </c>
      <c r="H76" s="57" t="s">
        <v>90</v>
      </c>
      <c r="I76" s="57" t="s">
        <v>90</v>
      </c>
      <c r="J76" s="58">
        <v>800</v>
      </c>
      <c r="K76" s="59"/>
      <c r="L76" s="56"/>
    </row>
    <row r="77" spans="2:12" ht="19.5" customHeight="1" x14ac:dyDescent="0.2">
      <c r="B77" s="22">
        <v>74</v>
      </c>
      <c r="C77" s="56" t="s">
        <v>310</v>
      </c>
      <c r="D77" s="56" t="s">
        <v>311</v>
      </c>
      <c r="E77" s="57" t="s">
        <v>312</v>
      </c>
      <c r="F77" s="57"/>
      <c r="G77" s="57" t="s">
        <v>300</v>
      </c>
      <c r="H77" s="57" t="s">
        <v>94</v>
      </c>
      <c r="I77" s="57" t="s">
        <v>95</v>
      </c>
      <c r="J77" s="58">
        <v>200</v>
      </c>
      <c r="K77" s="59"/>
      <c r="L77" s="56"/>
    </row>
    <row r="78" spans="2:12" ht="19.5" customHeight="1" x14ac:dyDescent="0.2">
      <c r="B78" s="27">
        <v>75</v>
      </c>
      <c r="C78" s="56" t="s">
        <v>313</v>
      </c>
      <c r="D78" s="56" t="s">
        <v>314</v>
      </c>
      <c r="E78" s="57" t="s">
        <v>315</v>
      </c>
      <c r="F78" s="57"/>
      <c r="G78" s="57" t="s">
        <v>300</v>
      </c>
      <c r="H78" s="57" t="s">
        <v>82</v>
      </c>
      <c r="I78" s="57" t="s">
        <v>83</v>
      </c>
      <c r="J78" s="58">
        <v>3500</v>
      </c>
      <c r="K78" s="59"/>
      <c r="L78" s="56"/>
    </row>
    <row r="79" spans="2:12" ht="19.5" customHeight="1" x14ac:dyDescent="0.2">
      <c r="B79" s="22">
        <v>76</v>
      </c>
      <c r="C79" s="56" t="s">
        <v>316</v>
      </c>
      <c r="D79" s="56" t="s">
        <v>317</v>
      </c>
      <c r="E79" s="57" t="s">
        <v>318</v>
      </c>
      <c r="F79" s="57"/>
      <c r="G79" s="57" t="s">
        <v>300</v>
      </c>
      <c r="H79" s="57" t="s">
        <v>90</v>
      </c>
      <c r="I79" s="57" t="s">
        <v>90</v>
      </c>
      <c r="J79" s="58">
        <v>800</v>
      </c>
      <c r="K79" s="59"/>
      <c r="L79" s="56"/>
    </row>
    <row r="80" spans="2:12" ht="19.5" customHeight="1" x14ac:dyDescent="0.2">
      <c r="B80" s="27">
        <v>77</v>
      </c>
      <c r="C80" s="56" t="s">
        <v>319</v>
      </c>
      <c r="D80" s="56" t="s">
        <v>320</v>
      </c>
      <c r="E80" s="57" t="s">
        <v>321</v>
      </c>
      <c r="F80" s="57"/>
      <c r="G80" s="57" t="s">
        <v>300</v>
      </c>
      <c r="H80" s="57" t="s">
        <v>82</v>
      </c>
      <c r="I80" s="57" t="s">
        <v>83</v>
      </c>
      <c r="J80" s="58">
        <v>3500</v>
      </c>
      <c r="K80" s="59"/>
      <c r="L80" s="56"/>
    </row>
    <row r="81" spans="2:12" ht="19.5" customHeight="1" x14ac:dyDescent="0.2">
      <c r="B81" s="22">
        <v>78</v>
      </c>
      <c r="C81" s="56" t="s">
        <v>322</v>
      </c>
      <c r="D81" s="56" t="s">
        <v>323</v>
      </c>
      <c r="E81" s="57" t="s">
        <v>324</v>
      </c>
      <c r="F81" s="57"/>
      <c r="G81" s="57" t="s">
        <v>300</v>
      </c>
      <c r="H81" s="57" t="s">
        <v>94</v>
      </c>
      <c r="I81" s="57" t="s">
        <v>95</v>
      </c>
      <c r="J81" s="58">
        <v>200</v>
      </c>
      <c r="K81" s="59"/>
      <c r="L81" s="56"/>
    </row>
    <row r="82" spans="2:12" ht="19.5" customHeight="1" x14ac:dyDescent="0.2">
      <c r="B82" s="27">
        <v>79</v>
      </c>
      <c r="C82" s="56" t="s">
        <v>325</v>
      </c>
      <c r="D82" s="56" t="s">
        <v>326</v>
      </c>
      <c r="E82" s="57" t="s">
        <v>327</v>
      </c>
      <c r="F82" s="57"/>
      <c r="G82" s="57" t="s">
        <v>300</v>
      </c>
      <c r="H82" s="57" t="s">
        <v>82</v>
      </c>
      <c r="I82" s="57" t="s">
        <v>83</v>
      </c>
      <c r="J82" s="58">
        <v>3500</v>
      </c>
      <c r="K82" s="59"/>
      <c r="L82" s="56"/>
    </row>
    <row r="83" spans="2:12" ht="19.5" customHeight="1" x14ac:dyDescent="0.2">
      <c r="B83" s="22">
        <v>80</v>
      </c>
      <c r="C83" s="56" t="s">
        <v>328</v>
      </c>
      <c r="D83" s="56" t="s">
        <v>329</v>
      </c>
      <c r="E83" s="57" t="s">
        <v>330</v>
      </c>
      <c r="F83" s="57"/>
      <c r="G83" s="57" t="s">
        <v>331</v>
      </c>
      <c r="H83" s="57" t="s">
        <v>90</v>
      </c>
      <c r="I83" s="57" t="s">
        <v>90</v>
      </c>
      <c r="J83" s="58">
        <v>800</v>
      </c>
      <c r="K83" s="59"/>
      <c r="L83" s="56"/>
    </row>
    <row r="84" spans="2:12" ht="19.5" customHeight="1" x14ac:dyDescent="0.2">
      <c r="B84" s="27">
        <v>81</v>
      </c>
      <c r="C84" s="56" t="s">
        <v>332</v>
      </c>
      <c r="D84" s="56" t="s">
        <v>333</v>
      </c>
      <c r="E84" s="57" t="s">
        <v>334</v>
      </c>
      <c r="F84" s="57"/>
      <c r="G84" s="57" t="s">
        <v>331</v>
      </c>
      <c r="H84" s="57" t="s">
        <v>82</v>
      </c>
      <c r="I84" s="57" t="s">
        <v>83</v>
      </c>
      <c r="J84" s="58">
        <v>3500</v>
      </c>
      <c r="K84" s="59"/>
      <c r="L84" s="56"/>
    </row>
    <row r="85" spans="2:12" ht="19.5" customHeight="1" x14ac:dyDescent="0.2">
      <c r="B85" s="22">
        <v>82</v>
      </c>
      <c r="C85" s="56" t="s">
        <v>335</v>
      </c>
      <c r="D85" s="56" t="s">
        <v>336</v>
      </c>
      <c r="E85" s="57" t="s">
        <v>337</v>
      </c>
      <c r="F85" s="57"/>
      <c r="G85" s="57" t="s">
        <v>331</v>
      </c>
      <c r="H85" s="57" t="s">
        <v>82</v>
      </c>
      <c r="I85" s="57" t="s">
        <v>83</v>
      </c>
      <c r="J85" s="58">
        <v>3500</v>
      </c>
      <c r="K85" s="59"/>
      <c r="L85" s="56"/>
    </row>
    <row r="86" spans="2:12" ht="19.5" customHeight="1" x14ac:dyDescent="0.2">
      <c r="B86" s="27">
        <v>83</v>
      </c>
      <c r="C86" s="56" t="s">
        <v>338</v>
      </c>
      <c r="D86" s="56" t="s">
        <v>339</v>
      </c>
      <c r="E86" s="57" t="s">
        <v>340</v>
      </c>
      <c r="F86" s="57"/>
      <c r="G86" s="57" t="s">
        <v>331</v>
      </c>
      <c r="H86" s="57" t="s">
        <v>90</v>
      </c>
      <c r="I86" s="57" t="s">
        <v>90</v>
      </c>
      <c r="J86" s="58">
        <v>800</v>
      </c>
      <c r="K86" s="59"/>
      <c r="L86" s="56"/>
    </row>
    <row r="87" spans="2:12" ht="19.5" customHeight="1" x14ac:dyDescent="0.2">
      <c r="B87" s="22">
        <v>84</v>
      </c>
      <c r="C87" s="56" t="s">
        <v>341</v>
      </c>
      <c r="D87" s="56" t="s">
        <v>342</v>
      </c>
      <c r="E87" s="57" t="s">
        <v>343</v>
      </c>
      <c r="F87" s="57"/>
      <c r="G87" s="57" t="s">
        <v>331</v>
      </c>
      <c r="H87" s="57" t="s">
        <v>94</v>
      </c>
      <c r="I87" s="57" t="s">
        <v>95</v>
      </c>
      <c r="J87" s="58">
        <v>200</v>
      </c>
      <c r="K87" s="59"/>
      <c r="L87" s="56"/>
    </row>
    <row r="88" spans="2:12" ht="19.5" customHeight="1" x14ac:dyDescent="0.2">
      <c r="B88" s="27">
        <v>85</v>
      </c>
      <c r="C88" s="56" t="s">
        <v>344</v>
      </c>
      <c r="D88" s="56" t="s">
        <v>345</v>
      </c>
      <c r="E88" s="57" t="s">
        <v>346</v>
      </c>
      <c r="F88" s="57"/>
      <c r="G88" s="57" t="s">
        <v>331</v>
      </c>
      <c r="H88" s="57" t="s">
        <v>82</v>
      </c>
      <c r="I88" s="57" t="s">
        <v>83</v>
      </c>
      <c r="J88" s="58">
        <v>3500</v>
      </c>
      <c r="K88" s="59"/>
      <c r="L88" s="56"/>
    </row>
    <row r="89" spans="2:12" ht="19.5" customHeight="1" x14ac:dyDescent="0.2">
      <c r="B89" s="22">
        <v>86</v>
      </c>
      <c r="C89" s="56" t="s">
        <v>347</v>
      </c>
      <c r="D89" s="56" t="s">
        <v>348</v>
      </c>
      <c r="E89" s="57" t="s">
        <v>349</v>
      </c>
      <c r="F89" s="57"/>
      <c r="G89" s="57" t="s">
        <v>331</v>
      </c>
      <c r="H89" s="57" t="s">
        <v>90</v>
      </c>
      <c r="I89" s="57" t="s">
        <v>90</v>
      </c>
      <c r="J89" s="58">
        <v>800</v>
      </c>
      <c r="K89" s="59"/>
      <c r="L89" s="56"/>
    </row>
    <row r="90" spans="2:12" ht="19.5" customHeight="1" x14ac:dyDescent="0.2">
      <c r="B90" s="27">
        <v>87</v>
      </c>
      <c r="C90" s="56" t="s">
        <v>350</v>
      </c>
      <c r="D90" s="56" t="s">
        <v>351</v>
      </c>
      <c r="E90" s="57" t="s">
        <v>352</v>
      </c>
      <c r="F90" s="57"/>
      <c r="G90" s="57" t="s">
        <v>331</v>
      </c>
      <c r="H90" s="57" t="s">
        <v>82</v>
      </c>
      <c r="I90" s="57" t="s">
        <v>83</v>
      </c>
      <c r="J90" s="58">
        <v>3500</v>
      </c>
      <c r="K90" s="59"/>
      <c r="L90" s="56"/>
    </row>
    <row r="91" spans="2:12" ht="19.5" customHeight="1" x14ac:dyDescent="0.2">
      <c r="B91" s="22">
        <v>88</v>
      </c>
      <c r="C91" s="56" t="s">
        <v>353</v>
      </c>
      <c r="D91" s="56" t="s">
        <v>354</v>
      </c>
      <c r="E91" s="57" t="s">
        <v>355</v>
      </c>
      <c r="F91" s="57"/>
      <c r="G91" s="57" t="s">
        <v>331</v>
      </c>
      <c r="H91" s="57" t="s">
        <v>94</v>
      </c>
      <c r="I91" s="57" t="s">
        <v>95</v>
      </c>
      <c r="J91" s="58">
        <v>200</v>
      </c>
      <c r="K91" s="59"/>
      <c r="L91" s="56"/>
    </row>
    <row r="92" spans="2:12" ht="19.5" customHeight="1" x14ac:dyDescent="0.2">
      <c r="B92" s="27">
        <v>89</v>
      </c>
      <c r="C92" s="56" t="s">
        <v>356</v>
      </c>
      <c r="D92" s="56" t="s">
        <v>357</v>
      </c>
      <c r="E92" s="57" t="s">
        <v>358</v>
      </c>
      <c r="F92" s="57"/>
      <c r="G92" s="57" t="s">
        <v>331</v>
      </c>
      <c r="H92" s="57" t="s">
        <v>82</v>
      </c>
      <c r="I92" s="57" t="s">
        <v>83</v>
      </c>
      <c r="J92" s="58">
        <v>3500</v>
      </c>
      <c r="K92" s="59"/>
      <c r="L92" s="56"/>
    </row>
    <row r="93" spans="2:12" ht="19.5" customHeight="1" x14ac:dyDescent="0.2">
      <c r="B93" s="22">
        <v>90</v>
      </c>
      <c r="C93" s="56" t="s">
        <v>359</v>
      </c>
      <c r="D93" s="56" t="s">
        <v>360</v>
      </c>
      <c r="E93" s="57" t="s">
        <v>361</v>
      </c>
      <c r="F93" s="57"/>
      <c r="G93" s="57" t="s">
        <v>362</v>
      </c>
      <c r="H93" s="57" t="s">
        <v>90</v>
      </c>
      <c r="I93" s="57" t="s">
        <v>90</v>
      </c>
      <c r="J93" s="58">
        <v>800</v>
      </c>
      <c r="K93" s="59"/>
      <c r="L93" s="56"/>
    </row>
    <row r="94" spans="2:12" ht="19.5" customHeight="1" x14ac:dyDescent="0.2">
      <c r="B94" s="27">
        <v>91</v>
      </c>
      <c r="C94" s="56" t="s">
        <v>363</v>
      </c>
      <c r="D94" s="56" t="s">
        <v>364</v>
      </c>
      <c r="E94" s="57" t="s">
        <v>365</v>
      </c>
      <c r="F94" s="57"/>
      <c r="G94" s="57" t="s">
        <v>362</v>
      </c>
      <c r="H94" s="57" t="s">
        <v>82</v>
      </c>
      <c r="I94" s="57" t="s">
        <v>83</v>
      </c>
      <c r="J94" s="58">
        <v>3500</v>
      </c>
      <c r="K94" s="59"/>
      <c r="L94" s="56"/>
    </row>
    <row r="95" spans="2:12" ht="19.5" customHeight="1" x14ac:dyDescent="0.2">
      <c r="B95" s="22">
        <v>92</v>
      </c>
      <c r="C95" s="56" t="s">
        <v>366</v>
      </c>
      <c r="D95" s="56" t="s">
        <v>367</v>
      </c>
      <c r="E95" s="57" t="s">
        <v>368</v>
      </c>
      <c r="F95" s="57"/>
      <c r="G95" s="57" t="s">
        <v>362</v>
      </c>
      <c r="H95" s="57" t="s">
        <v>82</v>
      </c>
      <c r="I95" s="57" t="s">
        <v>83</v>
      </c>
      <c r="J95" s="58">
        <v>3500</v>
      </c>
      <c r="K95" s="59"/>
      <c r="L95" s="56"/>
    </row>
    <row r="96" spans="2:12" ht="19.5" customHeight="1" x14ac:dyDescent="0.2">
      <c r="B96" s="27">
        <v>93</v>
      </c>
      <c r="C96" s="56" t="s">
        <v>369</v>
      </c>
      <c r="D96" s="56" t="s">
        <v>370</v>
      </c>
      <c r="E96" s="57" t="s">
        <v>371</v>
      </c>
      <c r="F96" s="57"/>
      <c r="G96" s="57" t="s">
        <v>362</v>
      </c>
      <c r="H96" s="57" t="s">
        <v>90</v>
      </c>
      <c r="I96" s="57" t="s">
        <v>90</v>
      </c>
      <c r="J96" s="58">
        <v>800</v>
      </c>
      <c r="K96" s="59"/>
      <c r="L96" s="56"/>
    </row>
    <row r="97" spans="2:12" ht="19.5" customHeight="1" x14ac:dyDescent="0.2">
      <c r="B97" s="22">
        <v>94</v>
      </c>
      <c r="C97" s="56" t="s">
        <v>372</v>
      </c>
      <c r="D97" s="56" t="s">
        <v>373</v>
      </c>
      <c r="E97" s="57" t="s">
        <v>374</v>
      </c>
      <c r="F97" s="57"/>
      <c r="G97" s="57" t="s">
        <v>362</v>
      </c>
      <c r="H97" s="57" t="s">
        <v>94</v>
      </c>
      <c r="I97" s="57" t="s">
        <v>95</v>
      </c>
      <c r="J97" s="58">
        <v>200</v>
      </c>
      <c r="K97" s="59"/>
      <c r="L97" s="56"/>
    </row>
    <row r="98" spans="2:12" ht="19.5" customHeight="1" x14ac:dyDescent="0.2">
      <c r="B98" s="27">
        <v>95</v>
      </c>
      <c r="C98" s="56" t="s">
        <v>375</v>
      </c>
      <c r="D98" s="56" t="s">
        <v>376</v>
      </c>
      <c r="E98" s="57" t="s">
        <v>377</v>
      </c>
      <c r="F98" s="57"/>
      <c r="G98" s="57" t="s">
        <v>362</v>
      </c>
      <c r="H98" s="57" t="s">
        <v>82</v>
      </c>
      <c r="I98" s="57" t="s">
        <v>83</v>
      </c>
      <c r="J98" s="58">
        <v>3500</v>
      </c>
      <c r="K98" s="59"/>
      <c r="L98" s="56"/>
    </row>
    <row r="99" spans="2:12" ht="19.5" customHeight="1" x14ac:dyDescent="0.2">
      <c r="B99" s="22">
        <v>96</v>
      </c>
      <c r="C99" s="56" t="s">
        <v>378</v>
      </c>
      <c r="D99" s="56" t="s">
        <v>379</v>
      </c>
      <c r="E99" s="57" t="s">
        <v>380</v>
      </c>
      <c r="F99" s="57"/>
      <c r="G99" s="57" t="s">
        <v>362</v>
      </c>
      <c r="H99" s="57" t="s">
        <v>90</v>
      </c>
      <c r="I99" s="57" t="s">
        <v>90</v>
      </c>
      <c r="J99" s="58">
        <v>800</v>
      </c>
      <c r="K99" s="59"/>
      <c r="L99" s="56"/>
    </row>
    <row r="100" spans="2:12" ht="19.5" customHeight="1" x14ac:dyDescent="0.2">
      <c r="B100" s="27">
        <v>97</v>
      </c>
      <c r="C100" s="56" t="s">
        <v>381</v>
      </c>
      <c r="D100" s="56" t="s">
        <v>382</v>
      </c>
      <c r="E100" s="57" t="s">
        <v>383</v>
      </c>
      <c r="F100" s="57"/>
      <c r="G100" s="57" t="s">
        <v>362</v>
      </c>
      <c r="H100" s="57" t="s">
        <v>82</v>
      </c>
      <c r="I100" s="57" t="s">
        <v>83</v>
      </c>
      <c r="J100" s="58">
        <v>3500</v>
      </c>
      <c r="K100" s="59"/>
      <c r="L100" s="56"/>
    </row>
    <row r="101" spans="2:12" ht="19.5" customHeight="1" x14ac:dyDescent="0.2">
      <c r="B101" s="22">
        <v>98</v>
      </c>
      <c r="C101" s="56" t="s">
        <v>384</v>
      </c>
      <c r="D101" s="56" t="s">
        <v>385</v>
      </c>
      <c r="E101" s="57" t="s">
        <v>386</v>
      </c>
      <c r="F101" s="57"/>
      <c r="G101" s="57" t="s">
        <v>362</v>
      </c>
      <c r="H101" s="57" t="s">
        <v>94</v>
      </c>
      <c r="I101" s="57" t="s">
        <v>95</v>
      </c>
      <c r="J101" s="58">
        <v>200</v>
      </c>
      <c r="K101" s="59"/>
      <c r="L101" s="56"/>
    </row>
    <row r="102" spans="2:12" ht="19.5" customHeight="1" x14ac:dyDescent="0.2">
      <c r="B102" s="27">
        <v>99</v>
      </c>
      <c r="C102" s="56" t="s">
        <v>387</v>
      </c>
      <c r="D102" s="56" t="s">
        <v>388</v>
      </c>
      <c r="E102" s="57" t="s">
        <v>389</v>
      </c>
      <c r="F102" s="57"/>
      <c r="G102" s="57" t="s">
        <v>362</v>
      </c>
      <c r="H102" s="57" t="s">
        <v>82</v>
      </c>
      <c r="I102" s="57" t="s">
        <v>83</v>
      </c>
      <c r="J102" s="58">
        <v>3500</v>
      </c>
      <c r="K102" s="59"/>
      <c r="L102" s="56"/>
    </row>
    <row r="103" spans="2:12" ht="19.5" customHeight="1" x14ac:dyDescent="0.2">
      <c r="B103" s="22">
        <v>100</v>
      </c>
      <c r="C103" s="56" t="s">
        <v>390</v>
      </c>
      <c r="D103" s="56" t="s">
        <v>391</v>
      </c>
      <c r="E103" s="57" t="s">
        <v>392</v>
      </c>
      <c r="F103" s="57"/>
      <c r="G103" s="57" t="s">
        <v>393</v>
      </c>
      <c r="H103" s="57" t="s">
        <v>90</v>
      </c>
      <c r="I103" s="57" t="s">
        <v>90</v>
      </c>
      <c r="J103" s="58">
        <v>800</v>
      </c>
      <c r="K103" s="59"/>
      <c r="L103" s="56"/>
    </row>
    <row r="104" spans="2:12" ht="24" customHeight="1" x14ac:dyDescent="0.2">
      <c r="B104" s="135" t="s">
        <v>394</v>
      </c>
      <c r="C104" s="135"/>
      <c r="D104" s="135"/>
      <c r="E104" s="135"/>
      <c r="F104" s="135"/>
      <c r="G104" s="135"/>
      <c r="H104" s="135"/>
      <c r="I104" s="135"/>
      <c r="J104" s="135"/>
      <c r="K104" s="135"/>
      <c r="L104" s="60">
        <f>COUNTA(C4:C103)</f>
        <v>100</v>
      </c>
    </row>
  </sheetData>
  <sheetProtection password="CC3D" sheet="1" formatCells="0" formatColumns="0" formatRows="0"/>
  <mergeCells count="2">
    <mergeCell ref="B1:L1"/>
    <mergeCell ref="B104:K104"/>
  </mergeCells>
  <dataValidations count="2">
    <dataValidation type="list" allowBlank="1" sqref="H4:H103" xr:uid="{00000000-0002-0000-0200-000000000000}">
      <formula1>"حضانة,استضافة,جلسة"</formula1>
      <formula2>0</formula2>
    </dataValidation>
    <dataValidation type="list" allowBlank="1" sqref="I4:I103" xr:uid="{00000000-0002-0000-02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7"/>
  <sheetViews>
    <sheetView showGridLines="0" rightToLeft="1" zoomScaleNormal="100" workbookViewId="0"/>
  </sheetViews>
  <sheetFormatPr baseColWidth="10" defaultColWidth="8.6640625" defaultRowHeight="15" x14ac:dyDescent="0.2"/>
  <cols>
    <col min="1" max="1" width="2" customWidth="1"/>
    <col min="2" max="2" width="4" customWidth="1"/>
    <col min="3" max="3" width="22" customWidth="1"/>
    <col min="4" max="4" width="18" customWidth="1"/>
    <col min="5" max="5" width="12" customWidth="1"/>
    <col min="6" max="9" width="10" customWidth="1"/>
    <col min="10" max="10" width="14" customWidth="1"/>
    <col min="11" max="11" width="3" customWidth="1"/>
    <col min="12" max="23" width="11" customWidth="1"/>
    <col min="24" max="24" width="14" customWidth="1"/>
  </cols>
  <sheetData>
    <row r="1" spans="2:24" ht="37.5" customHeight="1" x14ac:dyDescent="0.2">
      <c r="B1" s="14" t="s">
        <v>395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ht="6" customHeight="1" x14ac:dyDescent="0.2"/>
    <row r="3" spans="2:24" ht="31.5" customHeight="1" x14ac:dyDescent="0.2">
      <c r="B3" s="21" t="s">
        <v>68</v>
      </c>
      <c r="C3" s="21" t="s">
        <v>396</v>
      </c>
      <c r="D3" s="21" t="s">
        <v>397</v>
      </c>
      <c r="E3" s="21" t="s">
        <v>398</v>
      </c>
      <c r="F3" s="21" t="s">
        <v>399</v>
      </c>
      <c r="G3" s="21" t="s">
        <v>400</v>
      </c>
      <c r="H3" s="21" t="s">
        <v>401</v>
      </c>
      <c r="I3" s="21" t="s">
        <v>402</v>
      </c>
      <c r="J3" s="21" t="s">
        <v>403</v>
      </c>
      <c r="K3" s="39"/>
      <c r="L3" s="48" t="s">
        <v>2</v>
      </c>
      <c r="M3" s="48" t="s">
        <v>32</v>
      </c>
      <c r="N3" s="48" t="s">
        <v>33</v>
      </c>
      <c r="O3" s="48" t="s">
        <v>34</v>
      </c>
      <c r="P3" s="48" t="s">
        <v>35</v>
      </c>
      <c r="Q3" s="48" t="s">
        <v>36</v>
      </c>
      <c r="R3" s="48" t="s">
        <v>37</v>
      </c>
      <c r="S3" s="48" t="s">
        <v>38</v>
      </c>
      <c r="T3" s="48" t="s">
        <v>39</v>
      </c>
      <c r="U3" s="48" t="s">
        <v>40</v>
      </c>
      <c r="V3" s="48" t="s">
        <v>41</v>
      </c>
      <c r="W3" s="48" t="s">
        <v>42</v>
      </c>
      <c r="X3" s="61" t="s">
        <v>404</v>
      </c>
    </row>
    <row r="4" spans="2:24" ht="21.75" customHeight="1" x14ac:dyDescent="0.2">
      <c r="B4" s="22">
        <v>1</v>
      </c>
      <c r="C4" s="56" t="s">
        <v>405</v>
      </c>
      <c r="D4" s="56" t="s">
        <v>406</v>
      </c>
      <c r="E4" s="58">
        <v>6000</v>
      </c>
      <c r="F4" s="58">
        <v>500</v>
      </c>
      <c r="G4" s="58">
        <v>300</v>
      </c>
      <c r="H4" s="58">
        <v>0</v>
      </c>
      <c r="I4" s="58">
        <v>0</v>
      </c>
      <c r="J4" s="62">
        <f t="shared" ref="J4:J14" si="0">E4+F4+G4+H4-I4</f>
        <v>6800</v>
      </c>
      <c r="K4" s="19"/>
      <c r="L4" s="58">
        <f t="shared" ref="L4:L14" si="1">J4</f>
        <v>6800</v>
      </c>
      <c r="M4" s="58">
        <f t="shared" ref="M4:M14" si="2">J4</f>
        <v>6800</v>
      </c>
      <c r="N4" s="58">
        <f t="shared" ref="N4:N14" si="3">J4</f>
        <v>6800</v>
      </c>
      <c r="O4" s="58">
        <f t="shared" ref="O4:O14" si="4">J4</f>
        <v>6800</v>
      </c>
      <c r="P4" s="58">
        <f t="shared" ref="P4:P14" si="5">J4</f>
        <v>6800</v>
      </c>
      <c r="Q4" s="58">
        <f t="shared" ref="Q4:Q14" si="6">J4</f>
        <v>6800</v>
      </c>
      <c r="R4" s="58">
        <f t="shared" ref="R4:R14" si="7">J4</f>
        <v>6800</v>
      </c>
      <c r="S4" s="58">
        <f t="shared" ref="S4:S14" si="8">J4</f>
        <v>6800</v>
      </c>
      <c r="T4" s="58">
        <f t="shared" ref="T4:T14" si="9">J4</f>
        <v>6800</v>
      </c>
      <c r="U4" s="58">
        <f t="shared" ref="U4:U14" si="10">J4</f>
        <v>6800</v>
      </c>
      <c r="V4" s="58">
        <f t="shared" ref="V4:V14" si="11">J4</f>
        <v>6800</v>
      </c>
      <c r="W4" s="58">
        <f t="shared" ref="W4:W14" si="12">J4</f>
        <v>6800</v>
      </c>
      <c r="X4" s="63">
        <f t="shared" ref="X4:X15" si="13">SUM(L4:W4)</f>
        <v>81600</v>
      </c>
    </row>
    <row r="5" spans="2:24" ht="21.75" customHeight="1" x14ac:dyDescent="0.2">
      <c r="B5" s="27">
        <v>2</v>
      </c>
      <c r="C5" s="56" t="s">
        <v>407</v>
      </c>
      <c r="D5" s="56" t="s">
        <v>408</v>
      </c>
      <c r="E5" s="58">
        <v>5000</v>
      </c>
      <c r="F5" s="58">
        <v>300</v>
      </c>
      <c r="G5" s="58">
        <v>200</v>
      </c>
      <c r="H5" s="58">
        <v>0</v>
      </c>
      <c r="I5" s="58">
        <v>0</v>
      </c>
      <c r="J5" s="62">
        <f t="shared" si="0"/>
        <v>5500</v>
      </c>
      <c r="K5" s="29"/>
      <c r="L5" s="58">
        <f t="shared" si="1"/>
        <v>5500</v>
      </c>
      <c r="M5" s="58">
        <f t="shared" si="2"/>
        <v>5500</v>
      </c>
      <c r="N5" s="58">
        <f t="shared" si="3"/>
        <v>5500</v>
      </c>
      <c r="O5" s="58">
        <f t="shared" si="4"/>
        <v>5500</v>
      </c>
      <c r="P5" s="58">
        <f t="shared" si="5"/>
        <v>5500</v>
      </c>
      <c r="Q5" s="58">
        <f t="shared" si="6"/>
        <v>5500</v>
      </c>
      <c r="R5" s="58">
        <f t="shared" si="7"/>
        <v>5500</v>
      </c>
      <c r="S5" s="58">
        <f t="shared" si="8"/>
        <v>5500</v>
      </c>
      <c r="T5" s="58">
        <f t="shared" si="9"/>
        <v>5500</v>
      </c>
      <c r="U5" s="58">
        <f t="shared" si="10"/>
        <v>5500</v>
      </c>
      <c r="V5" s="58">
        <f t="shared" si="11"/>
        <v>5500</v>
      </c>
      <c r="W5" s="58">
        <f t="shared" si="12"/>
        <v>5500</v>
      </c>
      <c r="X5" s="63">
        <f t="shared" si="13"/>
        <v>66000</v>
      </c>
    </row>
    <row r="6" spans="2:24" ht="21.75" customHeight="1" x14ac:dyDescent="0.2">
      <c r="B6" s="22">
        <v>3</v>
      </c>
      <c r="C6" s="56" t="s">
        <v>409</v>
      </c>
      <c r="D6" s="56" t="s">
        <v>408</v>
      </c>
      <c r="E6" s="58">
        <v>5000</v>
      </c>
      <c r="F6" s="58">
        <v>300</v>
      </c>
      <c r="G6" s="58">
        <v>200</v>
      </c>
      <c r="H6" s="58">
        <v>0</v>
      </c>
      <c r="I6" s="58">
        <v>0</v>
      </c>
      <c r="J6" s="62">
        <f t="shared" si="0"/>
        <v>5500</v>
      </c>
      <c r="K6" s="19"/>
      <c r="L6" s="58">
        <f t="shared" si="1"/>
        <v>5500</v>
      </c>
      <c r="M6" s="58">
        <f t="shared" si="2"/>
        <v>5500</v>
      </c>
      <c r="N6" s="58">
        <f t="shared" si="3"/>
        <v>5500</v>
      </c>
      <c r="O6" s="58">
        <f t="shared" si="4"/>
        <v>5500</v>
      </c>
      <c r="P6" s="58">
        <f t="shared" si="5"/>
        <v>5500</v>
      </c>
      <c r="Q6" s="58">
        <f t="shared" si="6"/>
        <v>5500</v>
      </c>
      <c r="R6" s="58">
        <f t="shared" si="7"/>
        <v>5500</v>
      </c>
      <c r="S6" s="58">
        <f t="shared" si="8"/>
        <v>5500</v>
      </c>
      <c r="T6" s="58">
        <f t="shared" si="9"/>
        <v>5500</v>
      </c>
      <c r="U6" s="58">
        <f t="shared" si="10"/>
        <v>5500</v>
      </c>
      <c r="V6" s="58">
        <f t="shared" si="11"/>
        <v>5500</v>
      </c>
      <c r="W6" s="58">
        <f t="shared" si="12"/>
        <v>5500</v>
      </c>
      <c r="X6" s="63">
        <f t="shared" si="13"/>
        <v>66000</v>
      </c>
    </row>
    <row r="7" spans="2:24" ht="21.75" customHeight="1" x14ac:dyDescent="0.2">
      <c r="B7" s="27">
        <v>4</v>
      </c>
      <c r="C7" s="56" t="s">
        <v>410</v>
      </c>
      <c r="D7" s="56" t="s">
        <v>408</v>
      </c>
      <c r="E7" s="58">
        <v>5000</v>
      </c>
      <c r="F7" s="58">
        <v>300</v>
      </c>
      <c r="G7" s="58">
        <v>200</v>
      </c>
      <c r="H7" s="58">
        <v>0</v>
      </c>
      <c r="I7" s="58">
        <v>0</v>
      </c>
      <c r="J7" s="62">
        <f t="shared" si="0"/>
        <v>5500</v>
      </c>
      <c r="K7" s="29"/>
      <c r="L7" s="58">
        <f t="shared" si="1"/>
        <v>5500</v>
      </c>
      <c r="M7" s="58">
        <f t="shared" si="2"/>
        <v>5500</v>
      </c>
      <c r="N7" s="58">
        <f t="shared" si="3"/>
        <v>5500</v>
      </c>
      <c r="O7" s="58">
        <f t="shared" si="4"/>
        <v>5500</v>
      </c>
      <c r="P7" s="58">
        <f t="shared" si="5"/>
        <v>5500</v>
      </c>
      <c r="Q7" s="58">
        <f t="shared" si="6"/>
        <v>5500</v>
      </c>
      <c r="R7" s="58">
        <f t="shared" si="7"/>
        <v>5500</v>
      </c>
      <c r="S7" s="58">
        <f t="shared" si="8"/>
        <v>5500</v>
      </c>
      <c r="T7" s="58">
        <f t="shared" si="9"/>
        <v>5500</v>
      </c>
      <c r="U7" s="58">
        <f t="shared" si="10"/>
        <v>5500</v>
      </c>
      <c r="V7" s="58">
        <f t="shared" si="11"/>
        <v>5500</v>
      </c>
      <c r="W7" s="58">
        <f t="shared" si="12"/>
        <v>5500</v>
      </c>
      <c r="X7" s="63">
        <f t="shared" si="13"/>
        <v>66000</v>
      </c>
    </row>
    <row r="8" spans="2:24" ht="21.75" customHeight="1" x14ac:dyDescent="0.2">
      <c r="B8" s="22">
        <v>5</v>
      </c>
      <c r="C8" s="56" t="s">
        <v>411</v>
      </c>
      <c r="D8" s="56" t="s">
        <v>412</v>
      </c>
      <c r="E8" s="58">
        <v>8000</v>
      </c>
      <c r="F8" s="58">
        <v>500</v>
      </c>
      <c r="G8" s="58">
        <v>300</v>
      </c>
      <c r="H8" s="58">
        <v>0</v>
      </c>
      <c r="I8" s="58">
        <v>0</v>
      </c>
      <c r="J8" s="62">
        <f t="shared" si="0"/>
        <v>8800</v>
      </c>
      <c r="K8" s="19"/>
      <c r="L8" s="58">
        <f t="shared" si="1"/>
        <v>8800</v>
      </c>
      <c r="M8" s="58">
        <f t="shared" si="2"/>
        <v>8800</v>
      </c>
      <c r="N8" s="58">
        <f t="shared" si="3"/>
        <v>8800</v>
      </c>
      <c r="O8" s="58">
        <f t="shared" si="4"/>
        <v>8800</v>
      </c>
      <c r="P8" s="58">
        <f t="shared" si="5"/>
        <v>8800</v>
      </c>
      <c r="Q8" s="58">
        <f t="shared" si="6"/>
        <v>8800</v>
      </c>
      <c r="R8" s="58">
        <f t="shared" si="7"/>
        <v>8800</v>
      </c>
      <c r="S8" s="58">
        <f t="shared" si="8"/>
        <v>8800</v>
      </c>
      <c r="T8" s="58">
        <f t="shared" si="9"/>
        <v>8800</v>
      </c>
      <c r="U8" s="58">
        <f t="shared" si="10"/>
        <v>8800</v>
      </c>
      <c r="V8" s="58">
        <f t="shared" si="11"/>
        <v>8800</v>
      </c>
      <c r="W8" s="58">
        <f t="shared" si="12"/>
        <v>8800</v>
      </c>
      <c r="X8" s="63">
        <f t="shared" si="13"/>
        <v>105600</v>
      </c>
    </row>
    <row r="9" spans="2:24" ht="21.75" customHeight="1" x14ac:dyDescent="0.2">
      <c r="B9" s="27">
        <v>6</v>
      </c>
      <c r="C9" s="56" t="s">
        <v>413</v>
      </c>
      <c r="D9" s="56" t="s">
        <v>412</v>
      </c>
      <c r="E9" s="58">
        <v>8000</v>
      </c>
      <c r="F9" s="58">
        <v>500</v>
      </c>
      <c r="G9" s="58">
        <v>300</v>
      </c>
      <c r="H9" s="58">
        <v>0</v>
      </c>
      <c r="I9" s="58">
        <v>0</v>
      </c>
      <c r="J9" s="62">
        <f t="shared" si="0"/>
        <v>8800</v>
      </c>
      <c r="K9" s="29"/>
      <c r="L9" s="58">
        <f t="shared" si="1"/>
        <v>8800</v>
      </c>
      <c r="M9" s="58">
        <f t="shared" si="2"/>
        <v>8800</v>
      </c>
      <c r="N9" s="58">
        <f t="shared" si="3"/>
        <v>8800</v>
      </c>
      <c r="O9" s="58">
        <f t="shared" si="4"/>
        <v>8800</v>
      </c>
      <c r="P9" s="58">
        <f t="shared" si="5"/>
        <v>8800</v>
      </c>
      <c r="Q9" s="58">
        <f t="shared" si="6"/>
        <v>8800</v>
      </c>
      <c r="R9" s="58">
        <f t="shared" si="7"/>
        <v>8800</v>
      </c>
      <c r="S9" s="58">
        <f t="shared" si="8"/>
        <v>8800</v>
      </c>
      <c r="T9" s="58">
        <f t="shared" si="9"/>
        <v>8800</v>
      </c>
      <c r="U9" s="58">
        <f t="shared" si="10"/>
        <v>8800</v>
      </c>
      <c r="V9" s="58">
        <f t="shared" si="11"/>
        <v>8800</v>
      </c>
      <c r="W9" s="58">
        <f t="shared" si="12"/>
        <v>8800</v>
      </c>
      <c r="X9" s="63">
        <f t="shared" si="13"/>
        <v>105600</v>
      </c>
    </row>
    <row r="10" spans="2:24" ht="21.75" customHeight="1" x14ac:dyDescent="0.2">
      <c r="B10" s="22">
        <v>7</v>
      </c>
      <c r="C10" s="56" t="s">
        <v>414</v>
      </c>
      <c r="D10" s="56" t="s">
        <v>415</v>
      </c>
      <c r="E10" s="58">
        <v>7000</v>
      </c>
      <c r="F10" s="58">
        <v>500</v>
      </c>
      <c r="G10" s="58">
        <v>300</v>
      </c>
      <c r="H10" s="58">
        <v>0</v>
      </c>
      <c r="I10" s="58">
        <v>0</v>
      </c>
      <c r="J10" s="62">
        <f t="shared" si="0"/>
        <v>7800</v>
      </c>
      <c r="K10" s="19"/>
      <c r="L10" s="58">
        <f t="shared" si="1"/>
        <v>7800</v>
      </c>
      <c r="M10" s="58">
        <f t="shared" si="2"/>
        <v>7800</v>
      </c>
      <c r="N10" s="58">
        <f t="shared" si="3"/>
        <v>7800</v>
      </c>
      <c r="O10" s="58">
        <f t="shared" si="4"/>
        <v>7800</v>
      </c>
      <c r="P10" s="58">
        <f t="shared" si="5"/>
        <v>7800</v>
      </c>
      <c r="Q10" s="58">
        <f t="shared" si="6"/>
        <v>7800</v>
      </c>
      <c r="R10" s="58">
        <f t="shared" si="7"/>
        <v>7800</v>
      </c>
      <c r="S10" s="58">
        <f t="shared" si="8"/>
        <v>7800</v>
      </c>
      <c r="T10" s="58">
        <f t="shared" si="9"/>
        <v>7800</v>
      </c>
      <c r="U10" s="58">
        <f t="shared" si="10"/>
        <v>7800</v>
      </c>
      <c r="V10" s="58">
        <f t="shared" si="11"/>
        <v>7800</v>
      </c>
      <c r="W10" s="58">
        <f t="shared" si="12"/>
        <v>7800</v>
      </c>
      <c r="X10" s="63">
        <f t="shared" si="13"/>
        <v>93600</v>
      </c>
    </row>
    <row r="11" spans="2:24" ht="21.75" customHeight="1" x14ac:dyDescent="0.2">
      <c r="B11" s="27">
        <v>8</v>
      </c>
      <c r="C11" s="56" t="s">
        <v>416</v>
      </c>
      <c r="D11" s="56" t="s">
        <v>417</v>
      </c>
      <c r="E11" s="58">
        <v>3500</v>
      </c>
      <c r="F11" s="58">
        <v>200</v>
      </c>
      <c r="G11" s="58">
        <v>150</v>
      </c>
      <c r="H11" s="58">
        <v>0</v>
      </c>
      <c r="I11" s="58">
        <v>0</v>
      </c>
      <c r="J11" s="62">
        <f t="shared" si="0"/>
        <v>3850</v>
      </c>
      <c r="K11" s="29"/>
      <c r="L11" s="58">
        <f t="shared" si="1"/>
        <v>3850</v>
      </c>
      <c r="M11" s="58">
        <f t="shared" si="2"/>
        <v>3850</v>
      </c>
      <c r="N11" s="58">
        <f t="shared" si="3"/>
        <v>3850</v>
      </c>
      <c r="O11" s="58">
        <f t="shared" si="4"/>
        <v>3850</v>
      </c>
      <c r="P11" s="58">
        <f t="shared" si="5"/>
        <v>3850</v>
      </c>
      <c r="Q11" s="58">
        <f t="shared" si="6"/>
        <v>3850</v>
      </c>
      <c r="R11" s="58">
        <f t="shared" si="7"/>
        <v>3850</v>
      </c>
      <c r="S11" s="58">
        <f t="shared" si="8"/>
        <v>3850</v>
      </c>
      <c r="T11" s="58">
        <f t="shared" si="9"/>
        <v>3850</v>
      </c>
      <c r="U11" s="58">
        <f t="shared" si="10"/>
        <v>3850</v>
      </c>
      <c r="V11" s="58">
        <f t="shared" si="11"/>
        <v>3850</v>
      </c>
      <c r="W11" s="58">
        <f t="shared" si="12"/>
        <v>3850</v>
      </c>
      <c r="X11" s="63">
        <f t="shared" si="13"/>
        <v>46200</v>
      </c>
    </row>
    <row r="12" spans="2:24" ht="21.75" customHeight="1" x14ac:dyDescent="0.2">
      <c r="B12" s="22">
        <v>9</v>
      </c>
      <c r="C12" s="56" t="s">
        <v>418</v>
      </c>
      <c r="D12" s="56" t="s">
        <v>419</v>
      </c>
      <c r="E12" s="58">
        <v>3000</v>
      </c>
      <c r="F12" s="58">
        <v>200</v>
      </c>
      <c r="G12" s="58">
        <v>150</v>
      </c>
      <c r="H12" s="58">
        <v>0</v>
      </c>
      <c r="I12" s="58">
        <v>0</v>
      </c>
      <c r="J12" s="62">
        <f t="shared" si="0"/>
        <v>3350</v>
      </c>
      <c r="K12" s="19"/>
      <c r="L12" s="58">
        <f t="shared" si="1"/>
        <v>3350</v>
      </c>
      <c r="M12" s="58">
        <f t="shared" si="2"/>
        <v>3350</v>
      </c>
      <c r="N12" s="58">
        <f t="shared" si="3"/>
        <v>3350</v>
      </c>
      <c r="O12" s="58">
        <f t="shared" si="4"/>
        <v>3350</v>
      </c>
      <c r="P12" s="58">
        <f t="shared" si="5"/>
        <v>3350</v>
      </c>
      <c r="Q12" s="58">
        <f t="shared" si="6"/>
        <v>3350</v>
      </c>
      <c r="R12" s="58">
        <f t="shared" si="7"/>
        <v>3350</v>
      </c>
      <c r="S12" s="58">
        <f t="shared" si="8"/>
        <v>3350</v>
      </c>
      <c r="T12" s="58">
        <f t="shared" si="9"/>
        <v>3350</v>
      </c>
      <c r="U12" s="58">
        <f t="shared" si="10"/>
        <v>3350</v>
      </c>
      <c r="V12" s="58">
        <f t="shared" si="11"/>
        <v>3350</v>
      </c>
      <c r="W12" s="58">
        <f t="shared" si="12"/>
        <v>3350</v>
      </c>
      <c r="X12" s="63">
        <f t="shared" si="13"/>
        <v>40200</v>
      </c>
    </row>
    <row r="13" spans="2:24" ht="21.75" customHeight="1" x14ac:dyDescent="0.2">
      <c r="B13" s="27">
        <v>10</v>
      </c>
      <c r="C13" s="56" t="s">
        <v>420</v>
      </c>
      <c r="D13" s="56" t="s">
        <v>419</v>
      </c>
      <c r="E13" s="58">
        <v>3000</v>
      </c>
      <c r="F13" s="58">
        <v>200</v>
      </c>
      <c r="G13" s="58">
        <v>150</v>
      </c>
      <c r="H13" s="58">
        <v>0</v>
      </c>
      <c r="I13" s="58">
        <v>0</v>
      </c>
      <c r="J13" s="62">
        <f t="shared" si="0"/>
        <v>3350</v>
      </c>
      <c r="K13" s="29"/>
      <c r="L13" s="58">
        <f t="shared" si="1"/>
        <v>3350</v>
      </c>
      <c r="M13" s="58">
        <f t="shared" si="2"/>
        <v>3350</v>
      </c>
      <c r="N13" s="58">
        <f t="shared" si="3"/>
        <v>3350</v>
      </c>
      <c r="O13" s="58">
        <f t="shared" si="4"/>
        <v>3350</v>
      </c>
      <c r="P13" s="58">
        <f t="shared" si="5"/>
        <v>3350</v>
      </c>
      <c r="Q13" s="58">
        <f t="shared" si="6"/>
        <v>3350</v>
      </c>
      <c r="R13" s="58">
        <f t="shared" si="7"/>
        <v>3350</v>
      </c>
      <c r="S13" s="58">
        <f t="shared" si="8"/>
        <v>3350</v>
      </c>
      <c r="T13" s="58">
        <f t="shared" si="9"/>
        <v>3350</v>
      </c>
      <c r="U13" s="58">
        <f t="shared" si="10"/>
        <v>3350</v>
      </c>
      <c r="V13" s="58">
        <f t="shared" si="11"/>
        <v>3350</v>
      </c>
      <c r="W13" s="58">
        <f t="shared" si="12"/>
        <v>3350</v>
      </c>
      <c r="X13" s="63">
        <f t="shared" si="13"/>
        <v>40200</v>
      </c>
    </row>
    <row r="14" spans="2:24" ht="21.75" customHeight="1" x14ac:dyDescent="0.2">
      <c r="B14" s="22">
        <v>11</v>
      </c>
      <c r="C14" s="56" t="s">
        <v>421</v>
      </c>
      <c r="D14" s="56" t="s">
        <v>422</v>
      </c>
      <c r="E14" s="58">
        <v>2500</v>
      </c>
      <c r="F14" s="58">
        <v>100</v>
      </c>
      <c r="G14" s="58">
        <v>100</v>
      </c>
      <c r="H14" s="58">
        <v>0</v>
      </c>
      <c r="I14" s="58">
        <v>0</v>
      </c>
      <c r="J14" s="62">
        <f t="shared" si="0"/>
        <v>2700</v>
      </c>
      <c r="K14" s="19"/>
      <c r="L14" s="58">
        <f t="shared" si="1"/>
        <v>2700</v>
      </c>
      <c r="M14" s="58">
        <f t="shared" si="2"/>
        <v>2700</v>
      </c>
      <c r="N14" s="58">
        <f t="shared" si="3"/>
        <v>2700</v>
      </c>
      <c r="O14" s="58">
        <f t="shared" si="4"/>
        <v>2700</v>
      </c>
      <c r="P14" s="58">
        <f t="shared" si="5"/>
        <v>2700</v>
      </c>
      <c r="Q14" s="58">
        <f t="shared" si="6"/>
        <v>2700</v>
      </c>
      <c r="R14" s="58">
        <f t="shared" si="7"/>
        <v>2700</v>
      </c>
      <c r="S14" s="58">
        <f t="shared" si="8"/>
        <v>2700</v>
      </c>
      <c r="T14" s="58">
        <f t="shared" si="9"/>
        <v>2700</v>
      </c>
      <c r="U14" s="58">
        <f t="shared" si="10"/>
        <v>2700</v>
      </c>
      <c r="V14" s="58">
        <f t="shared" si="11"/>
        <v>2700</v>
      </c>
      <c r="W14" s="58">
        <f t="shared" si="12"/>
        <v>2700</v>
      </c>
      <c r="X14" s="63">
        <f t="shared" si="13"/>
        <v>32400</v>
      </c>
    </row>
    <row r="15" spans="2:24" ht="25.5" customHeight="1" x14ac:dyDescent="0.2">
      <c r="B15" s="135" t="s">
        <v>423</v>
      </c>
      <c r="C15" s="135"/>
      <c r="D15" s="135"/>
      <c r="E15" s="64">
        <f t="shared" ref="E15:J15" si="14">SUM(E4:E14)</f>
        <v>56000</v>
      </c>
      <c r="F15" s="64">
        <f t="shared" si="14"/>
        <v>3600</v>
      </c>
      <c r="G15" s="64">
        <f t="shared" si="14"/>
        <v>2350</v>
      </c>
      <c r="H15" s="64">
        <f t="shared" si="14"/>
        <v>0</v>
      </c>
      <c r="I15" s="64">
        <f t="shared" si="14"/>
        <v>0</v>
      </c>
      <c r="J15" s="31">
        <f t="shared" si="14"/>
        <v>61950</v>
      </c>
      <c r="K15" s="39"/>
      <c r="L15" s="65">
        <f t="shared" ref="L15:W15" si="15">SUM(L4:L14)</f>
        <v>61950</v>
      </c>
      <c r="M15" s="65">
        <f t="shared" si="15"/>
        <v>61950</v>
      </c>
      <c r="N15" s="65">
        <f t="shared" si="15"/>
        <v>61950</v>
      </c>
      <c r="O15" s="65">
        <f t="shared" si="15"/>
        <v>61950</v>
      </c>
      <c r="P15" s="65">
        <f t="shared" si="15"/>
        <v>61950</v>
      </c>
      <c r="Q15" s="65">
        <f t="shared" si="15"/>
        <v>61950</v>
      </c>
      <c r="R15" s="65">
        <f t="shared" si="15"/>
        <v>61950</v>
      </c>
      <c r="S15" s="65">
        <f t="shared" si="15"/>
        <v>61950</v>
      </c>
      <c r="T15" s="65">
        <f t="shared" si="15"/>
        <v>61950</v>
      </c>
      <c r="U15" s="65">
        <f t="shared" si="15"/>
        <v>61950</v>
      </c>
      <c r="V15" s="65">
        <f t="shared" si="15"/>
        <v>61950</v>
      </c>
      <c r="W15" s="65">
        <f t="shared" si="15"/>
        <v>61950</v>
      </c>
      <c r="X15" s="66">
        <f t="shared" si="13"/>
        <v>743400</v>
      </c>
    </row>
    <row r="16" spans="2:24" ht="6" customHeight="1" x14ac:dyDescent="0.2"/>
    <row r="17" spans="2:24" ht="21.75" customHeight="1" x14ac:dyDescent="0.2">
      <c r="B17" s="137" t="s">
        <v>424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</row>
  </sheetData>
  <sheetProtection password="CC3D" sheet="1" formatCells="0" formatColumns="0" formatRows="0"/>
  <mergeCells count="3">
    <mergeCell ref="B1:X1"/>
    <mergeCell ref="B15:D15"/>
    <mergeCell ref="B17:X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3"/>
  <sheetViews>
    <sheetView showGridLines="0" rightToLeft="1" zoomScaleNormal="100" workbookViewId="0"/>
  </sheetViews>
  <sheetFormatPr baseColWidth="10" defaultColWidth="8.6640625" defaultRowHeight="15" x14ac:dyDescent="0.2"/>
  <cols>
    <col min="1" max="1" width="2" customWidth="1"/>
    <col min="2" max="2" width="4" customWidth="1"/>
    <col min="3" max="3" width="28" customWidth="1"/>
    <col min="4" max="15" width="12" customWidth="1"/>
    <col min="16" max="16" width="15" customWidth="1"/>
  </cols>
  <sheetData>
    <row r="1" spans="2:16" ht="37.5" customHeight="1" x14ac:dyDescent="0.2">
      <c r="B1" s="14" t="s">
        <v>425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6" customHeight="1" x14ac:dyDescent="0.2"/>
    <row r="3" spans="2:16" ht="30" customHeight="1" x14ac:dyDescent="0.2">
      <c r="B3" s="21" t="s">
        <v>68</v>
      </c>
      <c r="C3" s="21" t="s">
        <v>426</v>
      </c>
      <c r="D3" s="48" t="s">
        <v>2</v>
      </c>
      <c r="E3" s="48" t="s">
        <v>32</v>
      </c>
      <c r="F3" s="48" t="s">
        <v>33</v>
      </c>
      <c r="G3" s="48" t="s">
        <v>34</v>
      </c>
      <c r="H3" s="48" t="s">
        <v>35</v>
      </c>
      <c r="I3" s="48" t="s">
        <v>36</v>
      </c>
      <c r="J3" s="48" t="s">
        <v>37</v>
      </c>
      <c r="K3" s="48" t="s">
        <v>38</v>
      </c>
      <c r="L3" s="48" t="s">
        <v>39</v>
      </c>
      <c r="M3" s="48" t="s">
        <v>40</v>
      </c>
      <c r="N3" s="48" t="s">
        <v>41</v>
      </c>
      <c r="O3" s="48" t="s">
        <v>42</v>
      </c>
      <c r="P3" s="61" t="s">
        <v>404</v>
      </c>
    </row>
    <row r="4" spans="2:16" ht="19.5" customHeight="1" x14ac:dyDescent="0.2">
      <c r="B4" s="22">
        <v>1</v>
      </c>
      <c r="C4" s="17" t="s">
        <v>427</v>
      </c>
      <c r="D4" s="58">
        <v>15000</v>
      </c>
      <c r="E4" s="58">
        <v>15000</v>
      </c>
      <c r="F4" s="58">
        <v>15000</v>
      </c>
      <c r="G4" s="58">
        <v>15000</v>
      </c>
      <c r="H4" s="58">
        <v>15000</v>
      </c>
      <c r="I4" s="58">
        <v>15000</v>
      </c>
      <c r="J4" s="58">
        <v>15000</v>
      </c>
      <c r="K4" s="58">
        <v>15000</v>
      </c>
      <c r="L4" s="58">
        <v>15000</v>
      </c>
      <c r="M4" s="58">
        <v>15000</v>
      </c>
      <c r="N4" s="58">
        <v>15000</v>
      </c>
      <c r="O4" s="58">
        <v>15000</v>
      </c>
      <c r="P4" s="67">
        <f t="shared" ref="P4:P21" si="0">SUM(D4:O4)</f>
        <v>180000</v>
      </c>
    </row>
    <row r="5" spans="2:16" ht="19.5" customHeight="1" x14ac:dyDescent="0.2">
      <c r="B5" s="27">
        <v>2</v>
      </c>
      <c r="C5" s="47" t="s">
        <v>428</v>
      </c>
      <c r="D5" s="58">
        <v>2000</v>
      </c>
      <c r="E5" s="58">
        <v>2000</v>
      </c>
      <c r="F5" s="58">
        <v>2000</v>
      </c>
      <c r="G5" s="58">
        <v>2000</v>
      </c>
      <c r="H5" s="58">
        <v>2000</v>
      </c>
      <c r="I5" s="58">
        <v>2000</v>
      </c>
      <c r="J5" s="58">
        <v>2000</v>
      </c>
      <c r="K5" s="58">
        <v>2000</v>
      </c>
      <c r="L5" s="58">
        <v>2000</v>
      </c>
      <c r="M5" s="58">
        <v>2000</v>
      </c>
      <c r="N5" s="58">
        <v>2000</v>
      </c>
      <c r="O5" s="58">
        <v>2000</v>
      </c>
      <c r="P5" s="67">
        <f t="shared" si="0"/>
        <v>24000</v>
      </c>
    </row>
    <row r="6" spans="2:16" ht="19.5" customHeight="1" x14ac:dyDescent="0.2">
      <c r="B6" s="22">
        <v>3</v>
      </c>
      <c r="C6" s="17" t="s">
        <v>429</v>
      </c>
      <c r="D6" s="58">
        <v>500</v>
      </c>
      <c r="E6" s="58">
        <v>500</v>
      </c>
      <c r="F6" s="58">
        <v>500</v>
      </c>
      <c r="G6" s="58">
        <v>500</v>
      </c>
      <c r="H6" s="58">
        <v>500</v>
      </c>
      <c r="I6" s="58">
        <v>500</v>
      </c>
      <c r="J6" s="58">
        <v>500</v>
      </c>
      <c r="K6" s="58">
        <v>500</v>
      </c>
      <c r="L6" s="58">
        <v>500</v>
      </c>
      <c r="M6" s="58">
        <v>500</v>
      </c>
      <c r="N6" s="58">
        <v>500</v>
      </c>
      <c r="O6" s="58">
        <v>500</v>
      </c>
      <c r="P6" s="67">
        <f t="shared" si="0"/>
        <v>6000</v>
      </c>
    </row>
    <row r="7" spans="2:16" ht="19.5" customHeight="1" x14ac:dyDescent="0.2">
      <c r="B7" s="27">
        <v>4</v>
      </c>
      <c r="C7" s="47" t="s">
        <v>430</v>
      </c>
      <c r="D7" s="58">
        <v>500</v>
      </c>
      <c r="E7" s="58">
        <v>500</v>
      </c>
      <c r="F7" s="58">
        <v>500</v>
      </c>
      <c r="G7" s="58">
        <v>500</v>
      </c>
      <c r="H7" s="58">
        <v>500</v>
      </c>
      <c r="I7" s="58">
        <v>500</v>
      </c>
      <c r="J7" s="58">
        <v>500</v>
      </c>
      <c r="K7" s="58">
        <v>500</v>
      </c>
      <c r="L7" s="58">
        <v>500</v>
      </c>
      <c r="M7" s="58">
        <v>500</v>
      </c>
      <c r="N7" s="58">
        <v>500</v>
      </c>
      <c r="O7" s="58">
        <v>500</v>
      </c>
      <c r="P7" s="67">
        <f t="shared" si="0"/>
        <v>6000</v>
      </c>
    </row>
    <row r="8" spans="2:16" ht="19.5" customHeight="1" x14ac:dyDescent="0.2">
      <c r="B8" s="22">
        <v>5</v>
      </c>
      <c r="C8" s="17" t="s">
        <v>431</v>
      </c>
      <c r="D8" s="58">
        <v>3000</v>
      </c>
      <c r="E8" s="58">
        <v>3000</v>
      </c>
      <c r="F8" s="58">
        <v>3000</v>
      </c>
      <c r="G8" s="58">
        <v>3000</v>
      </c>
      <c r="H8" s="58">
        <v>3000</v>
      </c>
      <c r="I8" s="58">
        <v>3000</v>
      </c>
      <c r="J8" s="58">
        <v>3000</v>
      </c>
      <c r="K8" s="58">
        <v>3000</v>
      </c>
      <c r="L8" s="58">
        <v>3000</v>
      </c>
      <c r="M8" s="58">
        <v>3000</v>
      </c>
      <c r="N8" s="58">
        <v>3000</v>
      </c>
      <c r="O8" s="58">
        <v>3000</v>
      </c>
      <c r="P8" s="67">
        <f t="shared" si="0"/>
        <v>36000</v>
      </c>
    </row>
    <row r="9" spans="2:16" ht="19.5" customHeight="1" x14ac:dyDescent="0.2">
      <c r="B9" s="27">
        <v>6</v>
      </c>
      <c r="C9" s="47" t="s">
        <v>432</v>
      </c>
      <c r="D9" s="58">
        <v>800</v>
      </c>
      <c r="E9" s="58">
        <v>800</v>
      </c>
      <c r="F9" s="58">
        <v>800</v>
      </c>
      <c r="G9" s="58">
        <v>800</v>
      </c>
      <c r="H9" s="58">
        <v>800</v>
      </c>
      <c r="I9" s="58">
        <v>800</v>
      </c>
      <c r="J9" s="58">
        <v>800</v>
      </c>
      <c r="K9" s="58">
        <v>800</v>
      </c>
      <c r="L9" s="58">
        <v>800</v>
      </c>
      <c r="M9" s="58">
        <v>800</v>
      </c>
      <c r="N9" s="58">
        <v>800</v>
      </c>
      <c r="O9" s="58">
        <v>800</v>
      </c>
      <c r="P9" s="67">
        <f t="shared" si="0"/>
        <v>9600</v>
      </c>
    </row>
    <row r="10" spans="2:16" ht="19.5" customHeight="1" x14ac:dyDescent="0.2">
      <c r="B10" s="22">
        <v>7</v>
      </c>
      <c r="C10" s="17" t="s">
        <v>433</v>
      </c>
      <c r="D10" s="58">
        <v>2000</v>
      </c>
      <c r="E10" s="58">
        <v>2000</v>
      </c>
      <c r="F10" s="58">
        <v>2000</v>
      </c>
      <c r="G10" s="58">
        <v>2000</v>
      </c>
      <c r="H10" s="58">
        <v>2000</v>
      </c>
      <c r="I10" s="58">
        <v>2000</v>
      </c>
      <c r="J10" s="58">
        <v>2000</v>
      </c>
      <c r="K10" s="58">
        <v>2000</v>
      </c>
      <c r="L10" s="58">
        <v>2000</v>
      </c>
      <c r="M10" s="58">
        <v>2000</v>
      </c>
      <c r="N10" s="58">
        <v>2000</v>
      </c>
      <c r="O10" s="58">
        <v>2000</v>
      </c>
      <c r="P10" s="67">
        <f t="shared" si="0"/>
        <v>24000</v>
      </c>
    </row>
    <row r="11" spans="2:16" ht="19.5" customHeight="1" x14ac:dyDescent="0.2">
      <c r="B11" s="27">
        <v>8</v>
      </c>
      <c r="C11" s="47" t="s">
        <v>434</v>
      </c>
      <c r="D11" s="58">
        <v>500</v>
      </c>
      <c r="E11" s="58">
        <v>500</v>
      </c>
      <c r="F11" s="58">
        <v>500</v>
      </c>
      <c r="G11" s="58">
        <v>500</v>
      </c>
      <c r="H11" s="58">
        <v>500</v>
      </c>
      <c r="I11" s="58">
        <v>500</v>
      </c>
      <c r="J11" s="58">
        <v>500</v>
      </c>
      <c r="K11" s="58">
        <v>500</v>
      </c>
      <c r="L11" s="58">
        <v>500</v>
      </c>
      <c r="M11" s="58">
        <v>500</v>
      </c>
      <c r="N11" s="58">
        <v>500</v>
      </c>
      <c r="O11" s="58">
        <v>500</v>
      </c>
      <c r="P11" s="67">
        <f t="shared" si="0"/>
        <v>6000</v>
      </c>
    </row>
    <row r="12" spans="2:16" ht="19.5" customHeight="1" x14ac:dyDescent="0.2">
      <c r="B12" s="22">
        <v>9</v>
      </c>
      <c r="C12" s="17" t="s">
        <v>435</v>
      </c>
      <c r="D12" s="58">
        <v>500</v>
      </c>
      <c r="E12" s="58">
        <v>500</v>
      </c>
      <c r="F12" s="58">
        <v>500</v>
      </c>
      <c r="G12" s="58">
        <v>500</v>
      </c>
      <c r="H12" s="58">
        <v>500</v>
      </c>
      <c r="I12" s="58">
        <v>500</v>
      </c>
      <c r="J12" s="58">
        <v>500</v>
      </c>
      <c r="K12" s="58">
        <v>500</v>
      </c>
      <c r="L12" s="58">
        <v>500</v>
      </c>
      <c r="M12" s="58">
        <v>500</v>
      </c>
      <c r="N12" s="58">
        <v>500</v>
      </c>
      <c r="O12" s="58">
        <v>500</v>
      </c>
      <c r="P12" s="67">
        <f t="shared" si="0"/>
        <v>6000</v>
      </c>
    </row>
    <row r="13" spans="2:16" ht="19.5" customHeight="1" x14ac:dyDescent="0.2">
      <c r="B13" s="27">
        <v>10</v>
      </c>
      <c r="C13" s="47" t="s">
        <v>436</v>
      </c>
      <c r="D13" s="58">
        <v>600</v>
      </c>
      <c r="E13" s="58">
        <v>600</v>
      </c>
      <c r="F13" s="58">
        <v>600</v>
      </c>
      <c r="G13" s="58">
        <v>600</v>
      </c>
      <c r="H13" s="58">
        <v>600</v>
      </c>
      <c r="I13" s="58">
        <v>600</v>
      </c>
      <c r="J13" s="58">
        <v>600</v>
      </c>
      <c r="K13" s="58">
        <v>600</v>
      </c>
      <c r="L13" s="58">
        <v>600</v>
      </c>
      <c r="M13" s="58">
        <v>600</v>
      </c>
      <c r="N13" s="58">
        <v>600</v>
      </c>
      <c r="O13" s="58">
        <v>600</v>
      </c>
      <c r="P13" s="67">
        <f t="shared" si="0"/>
        <v>7200</v>
      </c>
    </row>
    <row r="14" spans="2:16" ht="19.5" customHeight="1" x14ac:dyDescent="0.2">
      <c r="B14" s="22">
        <v>11</v>
      </c>
      <c r="C14" s="17" t="s">
        <v>437</v>
      </c>
      <c r="D14" s="58">
        <v>500</v>
      </c>
      <c r="E14" s="58">
        <v>500</v>
      </c>
      <c r="F14" s="58">
        <v>500</v>
      </c>
      <c r="G14" s="58">
        <v>500</v>
      </c>
      <c r="H14" s="58">
        <v>500</v>
      </c>
      <c r="I14" s="58">
        <v>500</v>
      </c>
      <c r="J14" s="58">
        <v>500</v>
      </c>
      <c r="K14" s="58">
        <v>500</v>
      </c>
      <c r="L14" s="58">
        <v>500</v>
      </c>
      <c r="M14" s="58">
        <v>500</v>
      </c>
      <c r="N14" s="58">
        <v>500</v>
      </c>
      <c r="O14" s="58">
        <v>500</v>
      </c>
      <c r="P14" s="67">
        <f t="shared" si="0"/>
        <v>6000</v>
      </c>
    </row>
    <row r="15" spans="2:16" ht="19.5" customHeight="1" x14ac:dyDescent="0.2">
      <c r="B15" s="27">
        <v>12</v>
      </c>
      <c r="C15" s="56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7">
        <f t="shared" si="0"/>
        <v>0</v>
      </c>
    </row>
    <row r="16" spans="2:16" ht="19.5" customHeight="1" x14ac:dyDescent="0.2">
      <c r="B16" s="22">
        <v>13</v>
      </c>
      <c r="C16" s="56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7">
        <f t="shared" si="0"/>
        <v>0</v>
      </c>
    </row>
    <row r="17" spans="2:16" ht="19.5" customHeight="1" x14ac:dyDescent="0.2">
      <c r="B17" s="27">
        <v>14</v>
      </c>
      <c r="C17" s="56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7">
        <f t="shared" si="0"/>
        <v>0</v>
      </c>
    </row>
    <row r="18" spans="2:16" ht="19.5" customHeight="1" x14ac:dyDescent="0.2">
      <c r="B18" s="22">
        <v>15</v>
      </c>
      <c r="C18" s="56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7">
        <f t="shared" si="0"/>
        <v>0</v>
      </c>
    </row>
    <row r="19" spans="2:16" ht="19.5" customHeight="1" x14ac:dyDescent="0.2">
      <c r="B19" s="27">
        <v>16</v>
      </c>
      <c r="C19" s="56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7">
        <f t="shared" si="0"/>
        <v>0</v>
      </c>
    </row>
    <row r="20" spans="2:16" ht="27.75" customHeight="1" x14ac:dyDescent="0.2">
      <c r="B20" s="135" t="s">
        <v>438</v>
      </c>
      <c r="C20" s="135"/>
      <c r="D20" s="65">
        <f t="shared" ref="D20:O20" si="1">SUM(D4:D19)</f>
        <v>25900</v>
      </c>
      <c r="E20" s="65">
        <f t="shared" si="1"/>
        <v>25900</v>
      </c>
      <c r="F20" s="65">
        <f t="shared" si="1"/>
        <v>25900</v>
      </c>
      <c r="G20" s="65">
        <f t="shared" si="1"/>
        <v>25900</v>
      </c>
      <c r="H20" s="65">
        <f t="shared" si="1"/>
        <v>25900</v>
      </c>
      <c r="I20" s="65">
        <f t="shared" si="1"/>
        <v>25900</v>
      </c>
      <c r="J20" s="65">
        <f t="shared" si="1"/>
        <v>25900</v>
      </c>
      <c r="K20" s="65">
        <f t="shared" si="1"/>
        <v>25900</v>
      </c>
      <c r="L20" s="65">
        <f t="shared" si="1"/>
        <v>25900</v>
      </c>
      <c r="M20" s="65">
        <f t="shared" si="1"/>
        <v>25900</v>
      </c>
      <c r="N20" s="65">
        <f t="shared" si="1"/>
        <v>25900</v>
      </c>
      <c r="O20" s="65">
        <f t="shared" si="1"/>
        <v>25900</v>
      </c>
      <c r="P20" s="66">
        <f t="shared" si="0"/>
        <v>310800</v>
      </c>
    </row>
    <row r="21" spans="2:16" ht="27.75" customHeight="1" x14ac:dyDescent="0.2">
      <c r="B21" s="124" t="s">
        <v>439</v>
      </c>
      <c r="C21" s="124"/>
      <c r="D21" s="32">
        <f>D20+'👔 الرواتب'!D15</f>
        <v>25900</v>
      </c>
      <c r="E21" s="32">
        <f>E20+'👔 الرواتب'!E15</f>
        <v>81900</v>
      </c>
      <c r="F21" s="32">
        <f>F20+'👔 الرواتب'!F15</f>
        <v>29500</v>
      </c>
      <c r="G21" s="32">
        <f>G20+'👔 الرواتب'!G15</f>
        <v>28250</v>
      </c>
      <c r="H21" s="32">
        <f>H20+'👔 الرواتب'!H15</f>
        <v>25900</v>
      </c>
      <c r="I21" s="32">
        <f>I20+'👔 الرواتب'!I15</f>
        <v>25900</v>
      </c>
      <c r="J21" s="32">
        <f>J20+'👔 الرواتب'!J15</f>
        <v>87850</v>
      </c>
      <c r="K21" s="32">
        <f>K20+'👔 الرواتب'!K15</f>
        <v>25900</v>
      </c>
      <c r="L21" s="32">
        <f>L20+'👔 الرواتب'!L15</f>
        <v>87850</v>
      </c>
      <c r="M21" s="32">
        <f>M20+'👔 الرواتب'!M15</f>
        <v>87850</v>
      </c>
      <c r="N21" s="32">
        <f>N20+'👔 الرواتب'!N15</f>
        <v>87850</v>
      </c>
      <c r="O21" s="32">
        <f>O20+'👔 الرواتب'!O15</f>
        <v>87850</v>
      </c>
      <c r="P21" s="32">
        <f t="shared" si="0"/>
        <v>682500</v>
      </c>
    </row>
    <row r="22" spans="2:16" ht="6" customHeight="1" x14ac:dyDescent="0.2"/>
    <row r="23" spans="2:16" ht="21.75" customHeight="1" x14ac:dyDescent="0.2">
      <c r="B23" s="137" t="s">
        <v>440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</row>
  </sheetData>
  <sheetProtection password="CC3D" sheet="1" formatCells="0" formatColumns="0" formatRows="0"/>
  <mergeCells count="4">
    <mergeCell ref="B1:P1"/>
    <mergeCell ref="B20:C20"/>
    <mergeCell ref="B21:C21"/>
    <mergeCell ref="B23:P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K31"/>
  <sheetViews>
    <sheetView showGridLines="0" rightToLeft="1" zoomScaleNormal="100" workbookViewId="0">
      <selection activeCell="U1" sqref="U1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8" customWidth="1"/>
    <col min="4" max="4" width="12" customWidth="1"/>
    <col min="5" max="5" width="10" customWidth="1"/>
    <col min="6" max="6" width="15" customWidth="1"/>
    <col min="7" max="9" width="16" customWidth="1"/>
    <col min="10" max="10" width="15" customWidth="1"/>
    <col min="11" max="11" width="2" customWidth="1"/>
  </cols>
  <sheetData>
    <row r="1" spans="2:11" ht="43.5" customHeight="1" x14ac:dyDescent="0.2">
      <c r="B1" s="143" t="s">
        <v>467</v>
      </c>
      <c r="C1" s="143"/>
      <c r="D1" s="143"/>
      <c r="E1" s="143"/>
      <c r="F1" s="143"/>
      <c r="G1" s="143"/>
      <c r="H1" s="143"/>
      <c r="I1" s="143"/>
      <c r="J1" s="143"/>
    </row>
    <row r="2" spans="2:11" ht="6" customHeight="1" x14ac:dyDescent="0.2"/>
    <row r="3" spans="2:11" ht="19.5" customHeight="1" x14ac:dyDescent="0.2">
      <c r="B3" s="128" t="s">
        <v>468</v>
      </c>
      <c r="C3" s="128"/>
      <c r="D3" s="128"/>
      <c r="E3" s="128"/>
      <c r="F3" s="128"/>
      <c r="G3" s="128"/>
      <c r="H3" s="128"/>
      <c r="I3" s="128"/>
      <c r="J3" s="128"/>
    </row>
    <row r="4" spans="2:11" ht="42" customHeight="1" x14ac:dyDescent="0.2">
      <c r="B4" s="144" t="s">
        <v>469</v>
      </c>
      <c r="C4" s="144"/>
      <c r="D4" s="145"/>
      <c r="E4" s="145"/>
      <c r="F4" s="145"/>
      <c r="G4" s="145"/>
      <c r="H4" s="145"/>
      <c r="I4" s="145"/>
      <c r="J4" s="145"/>
      <c r="K4" s="75">
        <f>IF(IFERROR(MATCH($D$4,'👶 بيانات الأطفال'!$C$4:$C$103,0),0)&gt;0,IFERROR(MATCH($D$4,'👶 بيانات الأطفال'!$C$4:$C$103,0),0)+3,IF(IFERROR(MATCH($D$4,'👶 بيانات الأطفال'!$F$4:$F$103,0),0)&gt;0,IFERROR(MATCH($D$4,'👶 بيانات الأطفال'!$F$4:$F$103,0),0)+3,IF(IFERROR(MATCH($D$4,'👶 بيانات الأطفال'!$G$4:$G$103,0),0)&gt;0,IFERROR(MATCH($D$4,'👶 بيانات الأطفال'!$G$4:$G$103,0),0)+3,IF(IFERROR(MATCH($D$4,'👶 بيانات الأطفال'!$E$4:$E$103,0),0)&gt;0,IFERROR(MATCH($D$4,'👶 بيانات الأطفال'!$E$4:$E$103,0),0)+3,IF(IFERROR(MATCH("*"&amp;$D$4&amp;"*",'👶 بيانات الأطفال'!$C$4:$C$103,0),0)&gt;0,IFERROR(MATCH("*"&amp;$D$4&amp;"*",'👶 بيانات الأطفال'!$C$4:$C$103,0),0)+3,0)))))</f>
        <v>4</v>
      </c>
    </row>
    <row r="5" spans="2:11" ht="30" customHeight="1" x14ac:dyDescent="0.2">
      <c r="B5" s="146" t="str">
        <f>IF($D$4="","  ⬆️  اكتب في خانة البحث أعلاه",IF($K$4=0,"  ❌  لم يُعثر على نتائج – تحقق من البيانات","  ✅  تم العثور على الطفل · رقم "&amp;($K$4-3)&amp;" في قاعدة البيانات"))</f>
        <v xml:space="preserve">  ⬆️  اكتب في خانة البحث أعلاه</v>
      </c>
      <c r="C5" s="146"/>
      <c r="D5" s="146"/>
      <c r="E5" s="146"/>
      <c r="F5" s="146"/>
      <c r="G5" s="146"/>
      <c r="H5" s="146"/>
      <c r="I5" s="146"/>
      <c r="J5" s="146"/>
      <c r="K5" s="75">
        <f ca="1">IF($K$4=0,0,IFERROR(MONTH(INDIRECT("'👶 بيانات الأطفال'!K"&amp;$K$4)),1))</f>
        <v>1</v>
      </c>
    </row>
    <row r="6" spans="2:11" ht="7.5" customHeight="1" x14ac:dyDescent="0.2"/>
    <row r="7" spans="2:11" ht="24" customHeight="1" x14ac:dyDescent="0.2">
      <c r="B7" s="135" t="s">
        <v>470</v>
      </c>
      <c r="C7" s="135"/>
      <c r="D7" s="135"/>
      <c r="E7" s="135"/>
      <c r="F7" s="135"/>
      <c r="G7" s="135"/>
      <c r="H7" s="135"/>
      <c r="I7" s="135"/>
      <c r="J7" s="135"/>
    </row>
    <row r="8" spans="2:11" ht="25.5" customHeight="1" x14ac:dyDescent="0.2">
      <c r="B8" s="20" t="s">
        <v>471</v>
      </c>
      <c r="C8" s="147" t="str">
        <f ca="1">IF($K$4=0,"—",IFERROR(INDIRECT("'👶 بيانات الأطفال'!C"&amp;$K$4),"—"))</f>
        <v>أحمد محمد</v>
      </c>
      <c r="D8" s="147"/>
      <c r="E8" s="147"/>
      <c r="F8" s="20" t="s">
        <v>472</v>
      </c>
      <c r="G8" s="148" t="str">
        <f ca="1">IF($K$4=0,"—",IFERROR(INDIRECT("'👶 بيانات الأطفال'!D"&amp;$K$4),"—"))</f>
        <v>ولي أمر 1</v>
      </c>
      <c r="H8" s="148"/>
      <c r="I8" s="148"/>
      <c r="J8" s="148"/>
    </row>
    <row r="9" spans="2:11" ht="25.5" customHeight="1" x14ac:dyDescent="0.2">
      <c r="B9" s="20" t="s">
        <v>473</v>
      </c>
      <c r="C9" s="147" t="str">
        <f ca="1">IF($K$4=0,"—",IFERROR(INDIRECT("'👶 بيانات الأطفال'!E"&amp;$K$4),"—"))</f>
        <v>01000000001</v>
      </c>
      <c r="D9" s="147"/>
      <c r="E9" s="147"/>
      <c r="F9" s="20" t="s">
        <v>474</v>
      </c>
      <c r="G9" s="148">
        <f ca="1">IF($K$4=0,"—",IFERROR(INDIRECT("'👶 بيانات الأطفال'!F"&amp;$K$4),"—"))</f>
        <v>0</v>
      </c>
      <c r="H9" s="148"/>
      <c r="I9" s="148"/>
      <c r="J9" s="148"/>
    </row>
    <row r="10" spans="2:11" ht="25.5" customHeight="1" x14ac:dyDescent="0.2">
      <c r="B10" s="20" t="s">
        <v>475</v>
      </c>
      <c r="C10" s="147" t="str">
        <f ca="1">IF($K$4=0,"—",IFERROR(INDIRECT("'👶 بيانات الأطفال'!G"&amp;$K$4),"—"))</f>
        <v>20000000000000</v>
      </c>
      <c r="D10" s="147"/>
      <c r="E10" s="147"/>
      <c r="F10" s="20" t="s">
        <v>476</v>
      </c>
      <c r="G10" s="148" t="str">
        <f ca="1">IF($K$4=0,"—",IFERROR(INDIRECT("'👶 بيانات الأطفال'!H"&amp;$K$4),"—"))</f>
        <v>حضانة</v>
      </c>
      <c r="H10" s="148"/>
      <c r="I10" s="148"/>
      <c r="J10" s="148"/>
    </row>
    <row r="11" spans="2:11" ht="25.5" customHeight="1" x14ac:dyDescent="0.2">
      <c r="B11" s="20" t="s">
        <v>477</v>
      </c>
      <c r="C11" s="147" t="str">
        <f ca="1">IF($K$4=0,"—",IFERROR(INDIRECT("'👶 بيانات الأطفال'!J"&amp;$K$4)&amp;" ج.م","—"))</f>
        <v>3500 ج.م</v>
      </c>
      <c r="D11" s="147"/>
      <c r="E11" s="147"/>
      <c r="F11" s="20" t="s">
        <v>478</v>
      </c>
      <c r="G11" s="148" t="str">
        <f ca="1">IF($K$4=0,"—",IFERROR(TEXT(INDIRECT("'👶 بيانات الأطفال'!K"&amp;$K$4),"DD/MM/YYYY"),"—"))</f>
        <v>00/01/1900</v>
      </c>
      <c r="H11" s="148"/>
      <c r="I11" s="148"/>
      <c r="J11" s="148"/>
    </row>
    <row r="12" spans="2:11" ht="25.5" customHeight="1" x14ac:dyDescent="0.2">
      <c r="B12" s="20" t="s">
        <v>479</v>
      </c>
      <c r="C12" s="147">
        <f ca="1">IF($K$4=0,"—",IFERROR(INDIRECT("'👶 بيانات الأطفال'!L"&amp;$K$4),"—"))</f>
        <v>0</v>
      </c>
      <c r="D12" s="147"/>
      <c r="E12" s="147"/>
      <c r="F12" s="134">
        <f ca="1">IF($K$4=0,"—",IFERROR(INDIRECT("'👶 بيانات الأطفال'!L"&amp;$K$4),"—"))</f>
        <v>0</v>
      </c>
      <c r="G12" s="134"/>
      <c r="H12" s="134"/>
      <c r="I12" s="134"/>
      <c r="J12" s="134"/>
    </row>
    <row r="13" spans="2:11" ht="7.5" customHeight="1" x14ac:dyDescent="0.2"/>
    <row r="14" spans="2:11" ht="24" customHeight="1" x14ac:dyDescent="0.2">
      <c r="B14" s="135" t="s">
        <v>480</v>
      </c>
      <c r="C14" s="135"/>
      <c r="D14" s="135"/>
      <c r="E14" s="135"/>
      <c r="F14" s="135"/>
      <c r="G14" s="135"/>
      <c r="H14" s="135"/>
      <c r="I14" s="135"/>
      <c r="J14" s="135"/>
    </row>
    <row r="15" spans="2:11" ht="30" customHeight="1" x14ac:dyDescent="0.2">
      <c r="B15" s="21" t="s">
        <v>26</v>
      </c>
      <c r="C15" s="21" t="s">
        <v>20</v>
      </c>
      <c r="D15" s="21" t="s">
        <v>74</v>
      </c>
      <c r="E15" s="21" t="s">
        <v>442</v>
      </c>
      <c r="F15" s="21" t="s">
        <v>75</v>
      </c>
      <c r="G15" s="21" t="s">
        <v>443</v>
      </c>
      <c r="H15" s="21" t="s">
        <v>444</v>
      </c>
      <c r="I15" s="21" t="s">
        <v>445</v>
      </c>
      <c r="J15" s="21" t="s">
        <v>31</v>
      </c>
    </row>
    <row r="16" spans="2:11" ht="24" customHeight="1" x14ac:dyDescent="0.2">
      <c r="B16" s="22" t="str">
        <f ca="1">IF($K$4=0,"—",IF(1&lt;$K$5,"—","يناير"))</f>
        <v>يناير</v>
      </c>
      <c r="C16" s="19" t="str">
        <f ca="1">IF($K$4=0,"",IF(1&lt;$K$5,"",IFERROR(INDIRECT("'"&amp;"يناير"&amp;"'!D"&amp;$K$4),0)))</f>
        <v>حضانة</v>
      </c>
      <c r="D16" s="19" t="str">
        <f ca="1">IF($K$4=0,"",IF(1&lt;$K$5,"",IFERROR(INDIRECT("'"&amp;"يناير"&amp;"'!E"&amp;$K$4),0)))</f>
        <v>شهر</v>
      </c>
      <c r="E16" s="76">
        <f ca="1">IF($K$4=0,"",IF(1&lt;$K$5,"",IFERROR(INDIRECT("'"&amp;"يناير"&amp;"'!F"&amp;$K$4),0)))</f>
        <v>1</v>
      </c>
      <c r="F16" s="77">
        <f ca="1">IF($K$4=0,"",IF(1&lt;$K$5,"",IFERROR(INDIRECT("'"&amp;"يناير"&amp;"'!G"&amp;$K$4),0)))</f>
        <v>3500</v>
      </c>
      <c r="G16" s="78">
        <f ca="1">IF($K$4=0,"",IF(1&lt;$K$5,"",IFERROR(INDIRECT("'"&amp;"يناير"&amp;"'!H"&amp;$K$4),0)))</f>
        <v>3500</v>
      </c>
      <c r="H16" s="23">
        <f ca="1">IF($K$4=0,"",IF(1&lt;$K$5,"",IFERROR(INDIRECT("'"&amp;"يناير"&amp;"'!I"&amp;$K$4),0)))</f>
        <v>0</v>
      </c>
      <c r="I16" s="24">
        <f ca="1">IF($K$4=0,"",IF(1&lt;$K$5,"",IFERROR(INDIRECT("'"&amp;"يناير"&amp;"'!J"&amp;$K$4),0)))</f>
        <v>3500</v>
      </c>
      <c r="J16" s="19" t="str">
        <f ca="1">IF($K$4=0,"",IF(1&lt;$K$5,"قبل التسجيل",IFERROR(INDIRECT("'"&amp;"يناير"&amp;"'!K"&amp;$K$4),"—")))</f>
        <v>❌ لم يُدفع</v>
      </c>
    </row>
    <row r="17" spans="2:10" ht="24" customHeight="1" x14ac:dyDescent="0.2">
      <c r="B17" s="27" t="str">
        <f ca="1">IF($K$4=0,"—",IF(2&lt;$K$5,"—","فبراير"))</f>
        <v>فبراير</v>
      </c>
      <c r="C17" s="29" t="str">
        <f ca="1">IF($K$4=0,"",IF(2&lt;$K$5,"",IFERROR(INDIRECT("'"&amp;"فبراير"&amp;"'!D"&amp;$K$4),0)))</f>
        <v>حضانة</v>
      </c>
      <c r="D17" s="29" t="str">
        <f ca="1">IF($K$4=0,"",IF(2&lt;$K$5,"",IFERROR(INDIRECT("'"&amp;"فبراير"&amp;"'!E"&amp;$K$4),0)))</f>
        <v>شهر</v>
      </c>
      <c r="E17" s="79">
        <f ca="1">IF($K$4=0,"",IF(2&lt;$K$5,"",IFERROR(INDIRECT("'"&amp;"فبراير"&amp;"'!F"&amp;$K$4),0)))</f>
        <v>1</v>
      </c>
      <c r="F17" s="80">
        <f ca="1">IF($K$4=0,"",IF(2&lt;$K$5,"",IFERROR(INDIRECT("'"&amp;"فبراير"&amp;"'!G"&amp;$K$4),0)))</f>
        <v>3500</v>
      </c>
      <c r="G17" s="78">
        <f ca="1">IF($K$4=0,"",IF(2&lt;$K$5,"",IFERROR(INDIRECT("'"&amp;"فبراير"&amp;"'!H"&amp;$K$4),0)))</f>
        <v>3500</v>
      </c>
      <c r="H17" s="23">
        <f ca="1">IF($K$4=0,"",IF(2&lt;$K$5,"",IFERROR(INDIRECT("'"&amp;"فبراير"&amp;"'!I"&amp;$K$4),0)))</f>
        <v>0</v>
      </c>
      <c r="I17" s="24">
        <f ca="1">IF($K$4=0,"",IF(2&lt;$K$5,"",IFERROR(INDIRECT("'"&amp;"فبراير"&amp;"'!J"&amp;$K$4),0)))</f>
        <v>3500</v>
      </c>
      <c r="J17" s="29" t="str">
        <f ca="1">IF($K$4=0,"",IF(2&lt;$K$5,"قبل التسجيل",IFERROR(INDIRECT("'"&amp;"فبراير"&amp;"'!K"&amp;$K$4),"—")))</f>
        <v>❌ لم يُدفع</v>
      </c>
    </row>
    <row r="18" spans="2:10" ht="24" customHeight="1" x14ac:dyDescent="0.2">
      <c r="B18" s="22" t="str">
        <f ca="1">IF($K$4=0,"—",IF(3&lt;$K$5,"—","مارس"))</f>
        <v>مارس</v>
      </c>
      <c r="C18" s="19" t="str">
        <f ca="1">IF($K$4=0,"",IF(3&lt;$K$5,"",IFERROR(INDIRECT("'"&amp;"مارس"&amp;"'!D"&amp;$K$4),0)))</f>
        <v>حضانة</v>
      </c>
      <c r="D18" s="19" t="str">
        <f ca="1">IF($K$4=0,"",IF(3&lt;$K$5,"",IFERROR(INDIRECT("'"&amp;"مارس"&amp;"'!E"&amp;$K$4),0)))</f>
        <v>شهر</v>
      </c>
      <c r="E18" s="76">
        <f ca="1">IF($K$4=0,"",IF(3&lt;$K$5,"",IFERROR(INDIRECT("'"&amp;"مارس"&amp;"'!F"&amp;$K$4),0)))</f>
        <v>1</v>
      </c>
      <c r="F18" s="77">
        <f ca="1">IF($K$4=0,"",IF(3&lt;$K$5,"",IFERROR(INDIRECT("'"&amp;"مارس"&amp;"'!G"&amp;$K$4),0)))</f>
        <v>3500</v>
      </c>
      <c r="G18" s="78">
        <f ca="1">IF($K$4=0,"",IF(3&lt;$K$5,"",IFERROR(INDIRECT("'"&amp;"مارس"&amp;"'!H"&amp;$K$4),0)))</f>
        <v>3500</v>
      </c>
      <c r="H18" s="23">
        <f ca="1">IF($K$4=0,"",IF(3&lt;$K$5,"",IFERROR(INDIRECT("'"&amp;"مارس"&amp;"'!I"&amp;$K$4),0)))</f>
        <v>0</v>
      </c>
      <c r="I18" s="24">
        <f ca="1">IF($K$4=0,"",IF(3&lt;$K$5,"",IFERROR(INDIRECT("'"&amp;"مارس"&amp;"'!J"&amp;$K$4),0)))</f>
        <v>3500</v>
      </c>
      <c r="J18" s="19" t="str">
        <f ca="1">IF($K$4=0,"",IF(3&lt;$K$5,"قبل التسجيل",IFERROR(INDIRECT("'"&amp;"مارس"&amp;"'!K"&amp;$K$4),"—")))</f>
        <v>❌ لم يُدفع</v>
      </c>
    </row>
    <row r="19" spans="2:10" ht="24" customHeight="1" x14ac:dyDescent="0.2">
      <c r="B19" s="27" t="str">
        <f ca="1">IF($K$4=0,"—",IF(4&lt;$K$5,"—","أبريل"))</f>
        <v>أبريل</v>
      </c>
      <c r="C19" s="29" t="str">
        <f ca="1">IF($K$4=0,"",IF(4&lt;$K$5,"",IFERROR(INDIRECT("'"&amp;"أبريل"&amp;"'!D"&amp;$K$4),0)))</f>
        <v>حضانة</v>
      </c>
      <c r="D19" s="29" t="str">
        <f ca="1">IF($K$4=0,"",IF(4&lt;$K$5,"",IFERROR(INDIRECT("'"&amp;"أبريل"&amp;"'!E"&amp;$K$4),0)))</f>
        <v>شهر</v>
      </c>
      <c r="E19" s="79">
        <f ca="1">IF($K$4=0,"",IF(4&lt;$K$5,"",IFERROR(INDIRECT("'"&amp;"أبريل"&amp;"'!F"&amp;$K$4),0)))</f>
        <v>1</v>
      </c>
      <c r="F19" s="80">
        <f ca="1">IF($K$4=0,"",IF(4&lt;$K$5,"",IFERROR(INDIRECT("'"&amp;"أبريل"&amp;"'!G"&amp;$K$4),0)))</f>
        <v>3500</v>
      </c>
      <c r="G19" s="78">
        <f ca="1">IF($K$4=0,"",IF(4&lt;$K$5,"",IFERROR(INDIRECT("'"&amp;"أبريل"&amp;"'!H"&amp;$K$4),0)))</f>
        <v>3500</v>
      </c>
      <c r="H19" s="23">
        <f ca="1">IF($K$4=0,"",IF(4&lt;$K$5,"",IFERROR(INDIRECT("'"&amp;"أبريل"&amp;"'!I"&amp;$K$4),0)))</f>
        <v>0</v>
      </c>
      <c r="I19" s="24">
        <f ca="1">IF($K$4=0,"",IF(4&lt;$K$5,"",IFERROR(INDIRECT("'"&amp;"أبريل"&amp;"'!J"&amp;$K$4),0)))</f>
        <v>3500</v>
      </c>
      <c r="J19" s="29" t="str">
        <f ca="1">IF($K$4=0,"",IF(4&lt;$K$5,"قبل التسجيل",IFERROR(INDIRECT("'"&amp;"أبريل"&amp;"'!K"&amp;$K$4),"—")))</f>
        <v>❌ لم يُدفع</v>
      </c>
    </row>
    <row r="20" spans="2:10" ht="24" customHeight="1" x14ac:dyDescent="0.2">
      <c r="B20" s="22" t="str">
        <f ca="1">IF($K$4=0,"—",IF(5&lt;$K$5,"—","مايو"))</f>
        <v>مايو</v>
      </c>
      <c r="C20" s="19" t="str">
        <f ca="1">IF($K$4=0,"",IF(5&lt;$K$5,"",IFERROR(INDIRECT("'"&amp;"مايو"&amp;"'!D"&amp;$K$4),0)))</f>
        <v>حضانة</v>
      </c>
      <c r="D20" s="19" t="str">
        <f ca="1">IF($K$4=0,"",IF(5&lt;$K$5,"",IFERROR(INDIRECT("'"&amp;"مايو"&amp;"'!E"&amp;$K$4),0)))</f>
        <v>شهر</v>
      </c>
      <c r="E20" s="76">
        <f ca="1">IF($K$4=0,"",IF(5&lt;$K$5,"",IFERROR(INDIRECT("'"&amp;"مايو"&amp;"'!F"&amp;$K$4),0)))</f>
        <v>1</v>
      </c>
      <c r="F20" s="77">
        <f ca="1">IF($K$4=0,"",IF(5&lt;$K$5,"",IFERROR(INDIRECT("'"&amp;"مايو"&amp;"'!G"&amp;$K$4),0)))</f>
        <v>3500</v>
      </c>
      <c r="G20" s="78">
        <f ca="1">IF($K$4=0,"",IF(5&lt;$K$5,"",IFERROR(INDIRECT("'"&amp;"مايو"&amp;"'!H"&amp;$K$4),0)))</f>
        <v>3500</v>
      </c>
      <c r="H20" s="23">
        <f ca="1">IF($K$4=0,"",IF(5&lt;$K$5,"",IFERROR(INDIRECT("'"&amp;"مايو"&amp;"'!I"&amp;$K$4),0)))</f>
        <v>0</v>
      </c>
      <c r="I20" s="24">
        <f ca="1">IF($K$4=0,"",IF(5&lt;$K$5,"",IFERROR(INDIRECT("'"&amp;"مايو"&amp;"'!J"&amp;$K$4),0)))</f>
        <v>3500</v>
      </c>
      <c r="J20" s="19" t="str">
        <f ca="1">IF($K$4=0,"",IF(5&lt;$K$5,"قبل التسجيل",IFERROR(INDIRECT("'"&amp;"مايو"&amp;"'!K"&amp;$K$4),"—")))</f>
        <v>❌ لم يُدفع</v>
      </c>
    </row>
    <row r="21" spans="2:10" ht="24" customHeight="1" x14ac:dyDescent="0.2">
      <c r="B21" s="27" t="str">
        <f ca="1">IF($K$4=0,"—",IF(6&lt;$K$5,"—","يونيو"))</f>
        <v>يونيو</v>
      </c>
      <c r="C21" s="29" t="str">
        <f ca="1">IF($K$4=0,"",IF(6&lt;$K$5,"",IFERROR(INDIRECT("'"&amp;"يونيو"&amp;"'!D"&amp;$K$4),0)))</f>
        <v>حضانة</v>
      </c>
      <c r="D21" s="29" t="str">
        <f ca="1">IF($K$4=0,"",IF(6&lt;$K$5,"",IFERROR(INDIRECT("'"&amp;"يونيو"&amp;"'!E"&amp;$K$4),0)))</f>
        <v>شهر</v>
      </c>
      <c r="E21" s="79">
        <f ca="1">IF($K$4=0,"",IF(6&lt;$K$5,"",IFERROR(INDIRECT("'"&amp;"يونيو"&amp;"'!F"&amp;$K$4),0)))</f>
        <v>1</v>
      </c>
      <c r="F21" s="80">
        <f ca="1">IF($K$4=0,"",IF(6&lt;$K$5,"",IFERROR(INDIRECT("'"&amp;"يونيو"&amp;"'!G"&amp;$K$4),0)))</f>
        <v>3500</v>
      </c>
      <c r="G21" s="78">
        <f ca="1">IF($K$4=0,"",IF(6&lt;$K$5,"",IFERROR(INDIRECT("'"&amp;"يونيو"&amp;"'!H"&amp;$K$4),0)))</f>
        <v>3500</v>
      </c>
      <c r="H21" s="23">
        <f ca="1">IF($K$4=0,"",IF(6&lt;$K$5,"",IFERROR(INDIRECT("'"&amp;"يونيو"&amp;"'!I"&amp;$K$4),0)))</f>
        <v>0</v>
      </c>
      <c r="I21" s="24">
        <f ca="1">IF($K$4=0,"",IF(6&lt;$K$5,"",IFERROR(INDIRECT("'"&amp;"يونيو"&amp;"'!J"&amp;$K$4),0)))</f>
        <v>3500</v>
      </c>
      <c r="J21" s="29" t="str">
        <f ca="1">IF($K$4=0,"",IF(6&lt;$K$5,"قبل التسجيل",IFERROR(INDIRECT("'"&amp;"يونيو"&amp;"'!K"&amp;$K$4),"—")))</f>
        <v>❌ لم يُدفع</v>
      </c>
    </row>
    <row r="22" spans="2:10" ht="24" customHeight="1" x14ac:dyDescent="0.2">
      <c r="B22" s="22" t="str">
        <f ca="1">IF($K$4=0,"—",IF(7&lt;$K$5,"—","يوليو"))</f>
        <v>يوليو</v>
      </c>
      <c r="C22" s="19" t="str">
        <f ca="1">IF($K$4=0,"",IF(7&lt;$K$5,"",IFERROR(INDIRECT("'"&amp;"يوليو"&amp;"'!D"&amp;$K$4),0)))</f>
        <v>حضانة</v>
      </c>
      <c r="D22" s="19" t="str">
        <f ca="1">IF($K$4=0,"",IF(7&lt;$K$5,"",IFERROR(INDIRECT("'"&amp;"يوليو"&amp;"'!E"&amp;$K$4),0)))</f>
        <v>شهر</v>
      </c>
      <c r="E22" s="76">
        <f ca="1">IF($K$4=0,"",IF(7&lt;$K$5,"",IFERROR(INDIRECT("'"&amp;"يوليو"&amp;"'!F"&amp;$K$4),0)))</f>
        <v>1</v>
      </c>
      <c r="F22" s="77">
        <f ca="1">IF($K$4=0,"",IF(7&lt;$K$5,"",IFERROR(INDIRECT("'"&amp;"يوليو"&amp;"'!G"&amp;$K$4),0)))</f>
        <v>3500</v>
      </c>
      <c r="G22" s="78">
        <f ca="1">IF($K$4=0,"",IF(7&lt;$K$5,"",IFERROR(INDIRECT("'"&amp;"يوليو"&amp;"'!H"&amp;$K$4),0)))</f>
        <v>3500</v>
      </c>
      <c r="H22" s="23">
        <f ca="1">IF($K$4=0,"",IF(7&lt;$K$5,"",IFERROR(INDIRECT("'"&amp;"يوليو"&amp;"'!I"&amp;$K$4),0)))</f>
        <v>0</v>
      </c>
      <c r="I22" s="24">
        <f ca="1">IF($K$4=0,"",IF(7&lt;$K$5,"",IFERROR(INDIRECT("'"&amp;"يوليو"&amp;"'!J"&amp;$K$4),0)))</f>
        <v>3500</v>
      </c>
      <c r="J22" s="19" t="str">
        <f ca="1">IF($K$4=0,"",IF(7&lt;$K$5,"قبل التسجيل",IFERROR(INDIRECT("'"&amp;"يوليو"&amp;"'!K"&amp;$K$4),"—")))</f>
        <v>❌ لم يُدفع</v>
      </c>
    </row>
    <row r="23" spans="2:10" ht="24" customHeight="1" x14ac:dyDescent="0.2">
      <c r="B23" s="27" t="str">
        <f ca="1">IF($K$4=0,"—",IF(8&lt;$K$5,"—","أغسطس"))</f>
        <v>أغسطس</v>
      </c>
      <c r="C23" s="29" t="str">
        <f ca="1">IF($K$4=0,"",IF(8&lt;$K$5,"",IFERROR(INDIRECT("'"&amp;"أغسطس"&amp;"'!D"&amp;$K$4),0)))</f>
        <v>حضانة</v>
      </c>
      <c r="D23" s="29" t="str">
        <f ca="1">IF($K$4=0,"",IF(8&lt;$K$5,"",IFERROR(INDIRECT("'"&amp;"أغسطس"&amp;"'!E"&amp;$K$4),0)))</f>
        <v>شهر</v>
      </c>
      <c r="E23" s="79">
        <f ca="1">IF($K$4=0,"",IF(8&lt;$K$5,"",IFERROR(INDIRECT("'"&amp;"أغسطس"&amp;"'!F"&amp;$K$4),0)))</f>
        <v>1</v>
      </c>
      <c r="F23" s="80">
        <f ca="1">IF($K$4=0,"",IF(8&lt;$K$5,"",IFERROR(INDIRECT("'"&amp;"أغسطس"&amp;"'!G"&amp;$K$4),0)))</f>
        <v>3500</v>
      </c>
      <c r="G23" s="78">
        <f ca="1">IF($K$4=0,"",IF(8&lt;$K$5,"",IFERROR(INDIRECT("'"&amp;"أغسطس"&amp;"'!H"&amp;$K$4),0)))</f>
        <v>3500</v>
      </c>
      <c r="H23" s="23">
        <f ca="1">IF($K$4=0,"",IF(8&lt;$K$5,"",IFERROR(INDIRECT("'"&amp;"أغسطس"&amp;"'!I"&amp;$K$4),0)))</f>
        <v>0</v>
      </c>
      <c r="I23" s="24">
        <f ca="1">IF($K$4=0,"",IF(8&lt;$K$5,"",IFERROR(INDIRECT("'"&amp;"أغسطس"&amp;"'!J"&amp;$K$4),0)))</f>
        <v>3500</v>
      </c>
      <c r="J23" s="29" t="str">
        <f ca="1">IF($K$4=0,"",IF(8&lt;$K$5,"قبل التسجيل",IFERROR(INDIRECT("'"&amp;"أغسطس"&amp;"'!K"&amp;$K$4),"—")))</f>
        <v>❌ لم يُدفع</v>
      </c>
    </row>
    <row r="24" spans="2:10" ht="24" customHeight="1" x14ac:dyDescent="0.2">
      <c r="B24" s="22" t="str">
        <f ca="1">IF($K$4=0,"—",IF(9&lt;$K$5,"—","سبتمبر"))</f>
        <v>سبتمبر</v>
      </c>
      <c r="C24" s="19" t="str">
        <f ca="1">IF($K$4=0,"",IF(9&lt;$K$5,"",IFERROR(INDIRECT("'"&amp;"سبتمبر"&amp;"'!D"&amp;$K$4),0)))</f>
        <v>حضانة</v>
      </c>
      <c r="D24" s="19" t="str">
        <f ca="1">IF($K$4=0,"",IF(9&lt;$K$5,"",IFERROR(INDIRECT("'"&amp;"سبتمبر"&amp;"'!E"&amp;$K$4),0)))</f>
        <v>شهر</v>
      </c>
      <c r="E24" s="76">
        <f ca="1">IF($K$4=0,"",IF(9&lt;$K$5,"",IFERROR(INDIRECT("'"&amp;"سبتمبر"&amp;"'!F"&amp;$K$4),0)))</f>
        <v>1</v>
      </c>
      <c r="F24" s="77">
        <f ca="1">IF($K$4=0,"",IF(9&lt;$K$5,"",IFERROR(INDIRECT("'"&amp;"سبتمبر"&amp;"'!G"&amp;$K$4),0)))</f>
        <v>3500</v>
      </c>
      <c r="G24" s="78">
        <f ca="1">IF($K$4=0,"",IF(9&lt;$K$5,"",IFERROR(INDIRECT("'"&amp;"سبتمبر"&amp;"'!H"&amp;$K$4),0)))</f>
        <v>3500</v>
      </c>
      <c r="H24" s="23">
        <f ca="1">IF($K$4=0,"",IF(9&lt;$K$5,"",IFERROR(INDIRECT("'"&amp;"سبتمبر"&amp;"'!I"&amp;$K$4),0)))</f>
        <v>0</v>
      </c>
      <c r="I24" s="24">
        <f ca="1">IF($K$4=0,"",IF(9&lt;$K$5,"",IFERROR(INDIRECT("'"&amp;"سبتمبر"&amp;"'!J"&amp;$K$4),0)))</f>
        <v>3500</v>
      </c>
      <c r="J24" s="19" t="str">
        <f ca="1">IF($K$4=0,"",IF(9&lt;$K$5,"قبل التسجيل",IFERROR(INDIRECT("'"&amp;"سبتمبر"&amp;"'!K"&amp;$K$4),"—")))</f>
        <v>❌ لم يُدفع</v>
      </c>
    </row>
    <row r="25" spans="2:10" ht="24" customHeight="1" x14ac:dyDescent="0.2">
      <c r="B25" s="27" t="str">
        <f ca="1">IF($K$4=0,"—",IF(10&lt;$K$5,"—","أكتوبر"))</f>
        <v>أكتوبر</v>
      </c>
      <c r="C25" s="29" t="str">
        <f ca="1">IF($K$4=0,"",IF(10&lt;$K$5,"",IFERROR(INDIRECT("'"&amp;"أكتوبر"&amp;"'!D"&amp;$K$4),0)))</f>
        <v>حضانة</v>
      </c>
      <c r="D25" s="29" t="str">
        <f ca="1">IF($K$4=0,"",IF(10&lt;$K$5,"",IFERROR(INDIRECT("'"&amp;"أكتوبر"&amp;"'!E"&amp;$K$4),0)))</f>
        <v>شهر</v>
      </c>
      <c r="E25" s="79">
        <f ca="1">IF($K$4=0,"",IF(10&lt;$K$5,"",IFERROR(INDIRECT("'"&amp;"أكتوبر"&amp;"'!F"&amp;$K$4),0)))</f>
        <v>1</v>
      </c>
      <c r="F25" s="80">
        <f ca="1">IF($K$4=0,"",IF(10&lt;$K$5,"",IFERROR(INDIRECT("'"&amp;"أكتوبر"&amp;"'!G"&amp;$K$4),0)))</f>
        <v>3500</v>
      </c>
      <c r="G25" s="78">
        <f ca="1">IF($K$4=0,"",IF(10&lt;$K$5,"",IFERROR(INDIRECT("'"&amp;"أكتوبر"&amp;"'!H"&amp;$K$4),0)))</f>
        <v>3500</v>
      </c>
      <c r="H25" s="23">
        <f ca="1">IF($K$4=0,"",IF(10&lt;$K$5,"",IFERROR(INDIRECT("'"&amp;"أكتوبر"&amp;"'!I"&amp;$K$4),0)))</f>
        <v>0</v>
      </c>
      <c r="I25" s="24">
        <f ca="1">IF($K$4=0,"",IF(10&lt;$K$5,"",IFERROR(INDIRECT("'"&amp;"أكتوبر"&amp;"'!J"&amp;$K$4),0)))</f>
        <v>3500</v>
      </c>
      <c r="J25" s="29" t="str">
        <f ca="1">IF($K$4=0,"",IF(10&lt;$K$5,"قبل التسجيل",IFERROR(INDIRECT("'"&amp;"أكتوبر"&amp;"'!K"&amp;$K$4),"—")))</f>
        <v>❌ لم يُدفع</v>
      </c>
    </row>
    <row r="26" spans="2:10" ht="24" customHeight="1" x14ac:dyDescent="0.2">
      <c r="B26" s="22" t="str">
        <f ca="1">IF($K$4=0,"—",IF(11&lt;$K$5,"—","نوفمبر"))</f>
        <v>نوفمبر</v>
      </c>
      <c r="C26" s="19" t="str">
        <f ca="1">IF($K$4=0,"",IF(11&lt;$K$5,"",IFERROR(INDIRECT("'"&amp;"نوفمبر"&amp;"'!D"&amp;$K$4),0)))</f>
        <v>حضانة</v>
      </c>
      <c r="D26" s="19" t="str">
        <f ca="1">IF($K$4=0,"",IF(11&lt;$K$5,"",IFERROR(INDIRECT("'"&amp;"نوفمبر"&amp;"'!E"&amp;$K$4),0)))</f>
        <v>شهر</v>
      </c>
      <c r="E26" s="76">
        <f ca="1">IF($K$4=0,"",IF(11&lt;$K$5,"",IFERROR(INDIRECT("'"&amp;"نوفمبر"&amp;"'!F"&amp;$K$4),0)))</f>
        <v>1</v>
      </c>
      <c r="F26" s="77">
        <f ca="1">IF($K$4=0,"",IF(11&lt;$K$5,"",IFERROR(INDIRECT("'"&amp;"نوفمبر"&amp;"'!G"&amp;$K$4),0)))</f>
        <v>3500</v>
      </c>
      <c r="G26" s="78">
        <f ca="1">IF($K$4=0,"",IF(11&lt;$K$5,"",IFERROR(INDIRECT("'"&amp;"نوفمبر"&amp;"'!H"&amp;$K$4),0)))</f>
        <v>3500</v>
      </c>
      <c r="H26" s="23">
        <f ca="1">IF($K$4=0,"",IF(11&lt;$K$5,"",IFERROR(INDIRECT("'"&amp;"نوفمبر"&amp;"'!I"&amp;$K$4),0)))</f>
        <v>0</v>
      </c>
      <c r="I26" s="24">
        <f ca="1">IF($K$4=0,"",IF(11&lt;$K$5,"",IFERROR(INDIRECT("'"&amp;"نوفمبر"&amp;"'!J"&amp;$K$4),0)))</f>
        <v>3500</v>
      </c>
      <c r="J26" s="19" t="str">
        <f ca="1">IF($K$4=0,"",IF(11&lt;$K$5,"قبل التسجيل",IFERROR(INDIRECT("'"&amp;"نوفمبر"&amp;"'!K"&amp;$K$4),"—")))</f>
        <v>❌ لم يُدفع</v>
      </c>
    </row>
    <row r="27" spans="2:10" ht="24" customHeight="1" x14ac:dyDescent="0.2">
      <c r="B27" s="27" t="str">
        <f ca="1">IF($K$4=0,"—",IF(12&lt;$K$5,"—","ديسمبر"))</f>
        <v>ديسمبر</v>
      </c>
      <c r="C27" s="29" t="str">
        <f ca="1">IF($K$4=0,"",IF(12&lt;$K$5,"",IFERROR(INDIRECT("'"&amp;"ديسمبر"&amp;"'!D"&amp;$K$4),0)))</f>
        <v>حضانة</v>
      </c>
      <c r="D27" s="29" t="str">
        <f ca="1">IF($K$4=0,"",IF(12&lt;$K$5,"",IFERROR(INDIRECT("'"&amp;"ديسمبر"&amp;"'!E"&amp;$K$4),0)))</f>
        <v>شهر</v>
      </c>
      <c r="E27" s="79">
        <f ca="1">IF($K$4=0,"",IF(12&lt;$K$5,"",IFERROR(INDIRECT("'"&amp;"ديسمبر"&amp;"'!F"&amp;$K$4),0)))</f>
        <v>1</v>
      </c>
      <c r="F27" s="80">
        <f ca="1">IF($K$4=0,"",IF(12&lt;$K$5,"",IFERROR(INDIRECT("'"&amp;"ديسمبر"&amp;"'!G"&amp;$K$4),0)))</f>
        <v>3500</v>
      </c>
      <c r="G27" s="78">
        <f ca="1">IF($K$4=0,"",IF(12&lt;$K$5,"",IFERROR(INDIRECT("'"&amp;"ديسمبر"&amp;"'!H"&amp;$K$4),0)))</f>
        <v>3500</v>
      </c>
      <c r="H27" s="23">
        <f ca="1">IF($K$4=0,"",IF(12&lt;$K$5,"",IFERROR(INDIRECT("'"&amp;"ديسمبر"&amp;"'!I"&amp;$K$4),0)))</f>
        <v>0</v>
      </c>
      <c r="I27" s="24">
        <f ca="1">IF($K$4=0,"",IF(12&lt;$K$5,"",IFERROR(INDIRECT("'"&amp;"ديسمبر"&amp;"'!J"&amp;$K$4),0)))</f>
        <v>3500</v>
      </c>
      <c r="J27" s="29" t="str">
        <f ca="1">IF($K$4=0,"",IF(12&lt;$K$5,"قبل التسجيل",IFERROR(INDIRECT("'"&amp;"ديسمبر"&amp;"'!K"&amp;$K$4),"—")))</f>
        <v>❌ لم يُدفع</v>
      </c>
    </row>
    <row r="28" spans="2:10" ht="7.5" customHeight="1" x14ac:dyDescent="0.2"/>
    <row r="29" spans="2:10" ht="30" customHeight="1" x14ac:dyDescent="0.2">
      <c r="B29" s="149" t="str">
        <f>IF($K$4=0,"—","  إجمالي من تاريخ التسجيل")</f>
        <v xml:space="preserve">  إجمالي من تاريخ التسجيل</v>
      </c>
      <c r="C29" s="149"/>
      <c r="D29" s="149"/>
      <c r="E29" s="149"/>
      <c r="F29" s="39"/>
      <c r="G29" s="81">
        <f ca="1">IF($K$4=0,"—",IF(1&gt;=$K$5,IFERROR(INDIRECT("'"&amp;"يناير"&amp;"'!H"&amp;$K$4),0),0)+IF(2&gt;=$K$5,IFERROR(INDIRECT("'"&amp;"فبراير"&amp;"'!H"&amp;$K$4),0),0)+IF(3&gt;=$K$5,IFERROR(INDIRECT("'"&amp;"مارس"&amp;"'!H"&amp;$K$4),0),0)+IF(4&gt;=$K$5,IFERROR(INDIRECT("'"&amp;"أبريل"&amp;"'!H"&amp;$K$4),0),0)+IF(5&gt;=$K$5,IFERROR(INDIRECT("'"&amp;"مايو"&amp;"'!H"&amp;$K$4),0),0)+IF(6&gt;=$K$5,IFERROR(INDIRECT("'"&amp;"يونيو"&amp;"'!H"&amp;$K$4),0),0)+IF(7&gt;=$K$5,IFERROR(INDIRECT("'"&amp;"يوليو"&amp;"'!H"&amp;$K$4),0),0)+IF(8&gt;=$K$5,IFERROR(INDIRECT("'"&amp;"أغسطس"&amp;"'!H"&amp;$K$4),0),0)+IF(9&gt;=$K$5,IFERROR(INDIRECT("'"&amp;"سبتمبر"&amp;"'!H"&amp;$K$4),0),0)+IF(10&gt;=$K$5,IFERROR(INDIRECT("'"&amp;"أكتوبر"&amp;"'!H"&amp;$K$4),0),0)+IF(11&gt;=$K$5,IFERROR(INDIRECT("'"&amp;"نوفمبر"&amp;"'!H"&amp;$K$4),0),0)+IF(12&gt;=$K$5,IFERROR(INDIRECT("'"&amp;"ديسمبر"&amp;"'!H"&amp;$K$4),0),0))</f>
        <v>42000</v>
      </c>
      <c r="H29" s="82">
        <f ca="1">IF($K$4=0,"—",IF(1&gt;=$K$5,IFERROR(INDIRECT("'"&amp;"يناير"&amp;"'!I"&amp;$K$4),0),0)+IF(2&gt;=$K$5,IFERROR(INDIRECT("'"&amp;"فبراير"&amp;"'!I"&amp;$K$4),0),0)+IF(3&gt;=$K$5,IFERROR(INDIRECT("'"&amp;"مارس"&amp;"'!I"&amp;$K$4),0),0)+IF(4&gt;=$K$5,IFERROR(INDIRECT("'"&amp;"أبريل"&amp;"'!I"&amp;$K$4),0),0)+IF(5&gt;=$K$5,IFERROR(INDIRECT("'"&amp;"مايو"&amp;"'!I"&amp;$K$4),0),0)+IF(6&gt;=$K$5,IFERROR(INDIRECT("'"&amp;"يونيو"&amp;"'!I"&amp;$K$4),0),0)+IF(7&gt;=$K$5,IFERROR(INDIRECT("'"&amp;"يوليو"&amp;"'!I"&amp;$K$4),0),0)+IF(8&gt;=$K$5,IFERROR(INDIRECT("'"&amp;"أغسطس"&amp;"'!I"&amp;$K$4),0),0)+IF(9&gt;=$K$5,IFERROR(INDIRECT("'"&amp;"سبتمبر"&amp;"'!I"&amp;$K$4),0),0)+IF(10&gt;=$K$5,IFERROR(INDIRECT("'"&amp;"أكتوبر"&amp;"'!I"&amp;$K$4),0),0)+IF(11&gt;=$K$5,IFERROR(INDIRECT("'"&amp;"نوفمبر"&amp;"'!I"&amp;$K$4),0),0)+IF(12&gt;=$K$5,IFERROR(INDIRECT("'"&amp;"ديسمبر"&amp;"'!I"&amp;$K$4),0),0))</f>
        <v>0</v>
      </c>
      <c r="I29" s="83">
        <f ca="1">IF($K$4=0,"—",IF(1&gt;=$K$5,IFERROR(INDIRECT("'"&amp;"يناير"&amp;"'!J"&amp;$K$4),0),0)+IF(2&gt;=$K$5,IFERROR(INDIRECT("'"&amp;"فبراير"&amp;"'!J"&amp;$K$4),0),0)+IF(3&gt;=$K$5,IFERROR(INDIRECT("'"&amp;"مارس"&amp;"'!J"&amp;$K$4),0),0)+IF(4&gt;=$K$5,IFERROR(INDIRECT("'"&amp;"أبريل"&amp;"'!J"&amp;$K$4),0),0)+IF(5&gt;=$K$5,IFERROR(INDIRECT("'"&amp;"مايو"&amp;"'!J"&amp;$K$4),0),0)+IF(6&gt;=$K$5,IFERROR(INDIRECT("'"&amp;"يونيو"&amp;"'!J"&amp;$K$4),0),0)+IF(7&gt;=$K$5,IFERROR(INDIRECT("'"&amp;"يوليو"&amp;"'!J"&amp;$K$4),0),0)+IF(8&gt;=$K$5,IFERROR(INDIRECT("'"&amp;"أغسطس"&amp;"'!J"&amp;$K$4),0),0)+IF(9&gt;=$K$5,IFERROR(INDIRECT("'"&amp;"سبتمبر"&amp;"'!J"&amp;$K$4),0),0)+IF(10&gt;=$K$5,IFERROR(INDIRECT("'"&amp;"أكتوبر"&amp;"'!J"&amp;$K$4),0),0)+IF(11&gt;=$K$5,IFERROR(INDIRECT("'"&amp;"نوفمبر"&amp;"'!J"&amp;$K$4),0),0)+IF(12&gt;=$K$5,IFERROR(INDIRECT("'"&amp;"ديسمبر"&amp;"'!J"&amp;$K$4),0),0))</f>
        <v>42000</v>
      </c>
      <c r="J29" s="84" t="str">
        <f ca="1">IF($K$4=0,"—",IF(I29=0,"✅ حساب صافٍ",IF(I29&lt;0,"❌ خسارة: "&amp;TEXT(ABS(I29),"#,##0")&amp;" ج.م","⚠️ متأخر: "&amp;TEXT(I29,"#,##0")&amp;" ج.م")))</f>
        <v>⚠️ متأخر: 42,000 ج.م</v>
      </c>
    </row>
    <row r="30" spans="2:10" ht="7.5" customHeight="1" x14ac:dyDescent="0.2"/>
    <row r="31" spans="2:10" ht="24" customHeight="1" x14ac:dyDescent="0.2">
      <c r="B31" s="150" t="str">
        <f ca="1">IF($K$4=0,"—","شهور نشطة: "&amp;($K$5&gt;0)*(12-$K$5+1)&amp;" شهر")</f>
        <v>شهور نشطة: 12 شهر</v>
      </c>
      <c r="C31" s="150"/>
      <c r="D31" s="150"/>
      <c r="E31" s="151" t="str">
        <f ca="1">IF($K$4=0,"—","مدفوع: "&amp;(IF(1&gt;=$K$5,IF(IFERROR(INDIRECT("'"&amp;"يناير"&amp;"'!K"&amp;$K$4),"")="✅ مدفوع",1,0),0)+IF(2&gt;=$K$5,IF(IFERROR(INDIRECT("'"&amp;"فبراير"&amp;"'!K"&amp;$K$4),"")="✅ مدفوع",1,0),0)+IF(3&gt;=$K$5,IF(IFERROR(INDIRECT("'"&amp;"مارس"&amp;"'!K"&amp;$K$4),"")="✅ مدفوع",1,0),0)+IF(4&gt;=$K$5,IF(IFERROR(INDIRECT("'"&amp;"أبريل"&amp;"'!K"&amp;$K$4),"")="✅ مدفوع",1,0),0)+IF(5&gt;=$K$5,IF(IFERROR(INDIRECT("'"&amp;"مايو"&amp;"'!K"&amp;$K$4),"")="✅ مدفوع",1,0),0)+IF(6&gt;=$K$5,IF(IFERROR(INDIRECT("'"&amp;"يونيو"&amp;"'!K"&amp;$K$4),"")="✅ مدفوع",1,0),0)+IF(7&gt;=$K$5,IF(IFERROR(INDIRECT("'"&amp;"يوليو"&amp;"'!K"&amp;$K$4),"")="✅ مدفوع",1,0),0)+IF(8&gt;=$K$5,IF(IFERROR(INDIRECT("'"&amp;"أغسطس"&amp;"'!K"&amp;$K$4),"")="✅ مدفوع",1,0),0)+IF(9&gt;=$K$5,IF(IFERROR(INDIRECT("'"&amp;"سبتمبر"&amp;"'!K"&amp;$K$4),"")="✅ مدفوع",1,0),0)+IF(10&gt;=$K$5,IF(IFERROR(INDIRECT("'"&amp;"أكتوبر"&amp;"'!K"&amp;$K$4),"")="✅ مدفوع",1,0),0)+IF(11&gt;=$K$5,IF(IFERROR(INDIRECT("'"&amp;"نوفمبر"&amp;"'!K"&amp;$K$4),"")="✅ مدفوع",1,0),0)+IF(12&gt;=$K$5,IF(IFERROR(INDIRECT("'"&amp;"ديسمبر"&amp;"'!K"&amp;$K$4),"")="✅ مدفوع",1,0),0))&amp;" شهر")</f>
        <v>مدفوع: 0 شهر</v>
      </c>
      <c r="F31" s="151"/>
      <c r="G31" s="151"/>
      <c r="H31" s="152" t="str">
        <f ca="1">IF($K$4=0,"—","متأخر: "&amp;(IF(1&gt;=$K$5,IF(IFERROR(INDIRECT("'"&amp;"يناير"&amp;"'!K"&amp;$K$4),"")="❌ لم يُدفع",1,0),0)+IF(2&gt;=$K$5,IF(IFERROR(INDIRECT("'"&amp;"فبراير"&amp;"'!K"&amp;$K$4),"")="❌ لم يُدفع",1,0),0)+IF(3&gt;=$K$5,IF(IFERROR(INDIRECT("'"&amp;"مارس"&amp;"'!K"&amp;$K$4),"")="❌ لم يُدفع",1,0),0)+IF(4&gt;=$K$5,IF(IFERROR(INDIRECT("'"&amp;"أبريل"&amp;"'!K"&amp;$K$4),"")="❌ لم يُدفع",1,0),0)+IF(5&gt;=$K$5,IF(IFERROR(INDIRECT("'"&amp;"مايو"&amp;"'!K"&amp;$K$4),"")="❌ لم يُدفع",1,0),0)+IF(6&gt;=$K$5,IF(IFERROR(INDIRECT("'"&amp;"يونيو"&amp;"'!K"&amp;$K$4),"")="❌ لم يُدفع",1,0),0)+IF(7&gt;=$K$5,IF(IFERROR(INDIRECT("'"&amp;"يوليو"&amp;"'!K"&amp;$K$4),"")="❌ لم يُدفع",1,0),0)+IF(8&gt;=$K$5,IF(IFERROR(INDIRECT("'"&amp;"أغسطس"&amp;"'!K"&amp;$K$4),"")="❌ لم يُدفع",1,0),0)+IF(9&gt;=$K$5,IF(IFERROR(INDIRECT("'"&amp;"سبتمبر"&amp;"'!K"&amp;$K$4),"")="❌ لم يُدفع",1,0),0)+IF(10&gt;=$K$5,IF(IFERROR(INDIRECT("'"&amp;"أكتوبر"&amp;"'!K"&amp;$K$4),"")="❌ لم يُدفع",1,0),0)+IF(11&gt;=$K$5,IF(IFERROR(INDIRECT("'"&amp;"نوفمبر"&amp;"'!K"&amp;$K$4),"")="❌ لم يُدفع",1,0),0)+IF(12&gt;=$K$5,IF(IFERROR(INDIRECT("'"&amp;"ديسمبر"&amp;"'!K"&amp;$K$4),"")="❌ لم يُدفع",1,0),0))&amp;" شهر")</f>
        <v>متأخر: 12 شهر</v>
      </c>
      <c r="I31" s="152"/>
      <c r="J31" s="152"/>
    </row>
  </sheetData>
  <sheetProtection password="CC3D" sheet="1" formatCells="0" formatColumns="0" formatRows="0"/>
  <mergeCells count="21">
    <mergeCell ref="B14:J14"/>
    <mergeCell ref="B29:E29"/>
    <mergeCell ref="B31:D31"/>
    <mergeCell ref="E31:G31"/>
    <mergeCell ref="H31:J31"/>
    <mergeCell ref="C10:E10"/>
    <mergeCell ref="G10:J10"/>
    <mergeCell ref="C11:E11"/>
    <mergeCell ref="G11:J11"/>
    <mergeCell ref="C12:E12"/>
    <mergeCell ref="F12:J12"/>
    <mergeCell ref="B7:J7"/>
    <mergeCell ref="C8:E8"/>
    <mergeCell ref="G8:J8"/>
    <mergeCell ref="C9:E9"/>
    <mergeCell ref="G9:J9"/>
    <mergeCell ref="B1:J1"/>
    <mergeCell ref="B3:J3"/>
    <mergeCell ref="B4:C4"/>
    <mergeCell ref="D4:J4"/>
    <mergeCell ref="B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48"/>
  <sheetViews>
    <sheetView showGridLines="0" rightToLeft="1" zoomScaleNormal="100" workbookViewId="0">
      <selection activeCell="B25" sqref="B25"/>
    </sheetView>
  </sheetViews>
  <sheetFormatPr baseColWidth="10" defaultColWidth="8.6640625" defaultRowHeight="15" x14ac:dyDescent="0.2"/>
  <cols>
    <col min="1" max="1" width="2" customWidth="1"/>
    <col min="2" max="2" width="5" customWidth="1"/>
    <col min="3" max="3" width="14" customWidth="1"/>
    <col min="4" max="4" width="20" customWidth="1"/>
    <col min="5" max="5" width="14" customWidth="1"/>
    <col min="6" max="6" width="20" customWidth="1"/>
    <col min="7" max="7" width="18" customWidth="1"/>
    <col min="8" max="8" width="16" customWidth="1"/>
    <col min="9" max="9" width="14" customWidth="1"/>
    <col min="10" max="10" width="2" customWidth="1"/>
  </cols>
  <sheetData>
    <row r="1" spans="2:9" ht="43.5" customHeight="1" x14ac:dyDescent="0.2">
      <c r="B1" s="153" t="s">
        <v>481</v>
      </c>
      <c r="C1" s="153"/>
      <c r="D1" s="153"/>
      <c r="E1" s="153"/>
      <c r="F1" s="153"/>
      <c r="G1" s="153"/>
      <c r="H1" s="153"/>
      <c r="I1" s="153"/>
    </row>
    <row r="2" spans="2:9" ht="6" customHeight="1" x14ac:dyDescent="0.2"/>
    <row r="3" spans="2:9" ht="18" customHeight="1" x14ac:dyDescent="0.2">
      <c r="B3" s="128" t="s">
        <v>482</v>
      </c>
      <c r="C3" s="128"/>
      <c r="D3" s="128"/>
      <c r="E3" s="128"/>
      <c r="F3" s="128"/>
      <c r="G3" s="128"/>
      <c r="H3" s="128"/>
      <c r="I3" s="128"/>
    </row>
    <row r="4" spans="2:9" ht="7.5" customHeight="1" x14ac:dyDescent="0.2"/>
    <row r="5" spans="2:9" ht="30" customHeight="1" x14ac:dyDescent="0.2">
      <c r="B5" s="21" t="s">
        <v>26</v>
      </c>
      <c r="C5" s="21" t="s">
        <v>483</v>
      </c>
      <c r="D5" s="21" t="s">
        <v>484</v>
      </c>
      <c r="E5" s="21" t="s">
        <v>485</v>
      </c>
      <c r="F5" s="21" t="s">
        <v>486</v>
      </c>
      <c r="G5" s="21" t="s">
        <v>487</v>
      </c>
      <c r="H5" s="21" t="s">
        <v>31</v>
      </c>
    </row>
    <row r="6" spans="2:9" ht="24" customHeight="1" x14ac:dyDescent="0.2">
      <c r="B6" s="22" t="s">
        <v>2</v>
      </c>
      <c r="C6" s="24">
        <f>IFERROR('💸 المصروفات'!D21,0)</f>
        <v>25900</v>
      </c>
      <c r="D6" s="85">
        <v>0.2</v>
      </c>
      <c r="E6" s="86">
        <f t="shared" ref="E6:E17" ca="1" si="0">IFERROR(D6/(1-E6),D6)</f>
        <v>0.2</v>
      </c>
      <c r="F6" s="23">
        <f>IFERROR(يناير!I104,0)</f>
        <v>0</v>
      </c>
      <c r="G6" s="78">
        <f t="shared" ref="G6:G17" ca="1" si="1">E6-F6</f>
        <v>0.2</v>
      </c>
      <c r="H6" s="19" t="str">
        <f t="shared" ref="H6:H17" si="2">IF(F6=0,"— لم يبدأ",IF(F6&gt;=E6,"✅ تجاوزت التارجت",IF(F6&gt;=E6*0.8,"⚠️ قريب ("&amp;TEXT(F6/E6,"0%")&amp;")","❌ بعيد ("&amp;TEXT(F6/E6,"0%")&amp;")")))</f>
        <v>— لم يبدأ</v>
      </c>
    </row>
    <row r="7" spans="2:9" ht="24" customHeight="1" x14ac:dyDescent="0.2">
      <c r="B7" s="27" t="s">
        <v>32</v>
      </c>
      <c r="C7" s="24">
        <f>IFERROR('💸 المصروفات'!E21,0)</f>
        <v>81900</v>
      </c>
      <c r="D7" s="85">
        <v>0.2</v>
      </c>
      <c r="E7" s="86">
        <f t="shared" ca="1" si="0"/>
        <v>0.2</v>
      </c>
      <c r="F7" s="23">
        <f>IFERROR(فبراير!I104,0)</f>
        <v>0</v>
      </c>
      <c r="G7" s="87">
        <f t="shared" ca="1" si="1"/>
        <v>0.2</v>
      </c>
      <c r="H7" s="29" t="str">
        <f t="shared" si="2"/>
        <v>— لم يبدأ</v>
      </c>
    </row>
    <row r="8" spans="2:9" ht="24" customHeight="1" x14ac:dyDescent="0.2">
      <c r="B8" s="22" t="s">
        <v>33</v>
      </c>
      <c r="C8" s="24">
        <f>IFERROR('💸 المصروفات'!F21,0)</f>
        <v>29500</v>
      </c>
      <c r="D8" s="85">
        <v>0.2</v>
      </c>
      <c r="E8" s="86">
        <f t="shared" ca="1" si="0"/>
        <v>0.2</v>
      </c>
      <c r="F8" s="23">
        <f>IFERROR(مارس!I104,0)</f>
        <v>0</v>
      </c>
      <c r="G8" s="78">
        <f t="shared" ca="1" si="1"/>
        <v>0.2</v>
      </c>
      <c r="H8" s="19" t="str">
        <f t="shared" si="2"/>
        <v>— لم يبدأ</v>
      </c>
    </row>
    <row r="9" spans="2:9" ht="24" customHeight="1" x14ac:dyDescent="0.2">
      <c r="B9" s="27" t="s">
        <v>34</v>
      </c>
      <c r="C9" s="24">
        <f>IFERROR('💸 المصروفات'!G21,0)</f>
        <v>28250</v>
      </c>
      <c r="D9" s="85">
        <v>0.2</v>
      </c>
      <c r="E9" s="86">
        <f t="shared" ca="1" si="0"/>
        <v>0.2</v>
      </c>
      <c r="F9" s="23">
        <f>IFERROR(أبريل!I104,0)</f>
        <v>0</v>
      </c>
      <c r="G9" s="87">
        <f t="shared" ca="1" si="1"/>
        <v>0.2</v>
      </c>
      <c r="H9" s="29" t="str">
        <f t="shared" si="2"/>
        <v>— لم يبدأ</v>
      </c>
    </row>
    <row r="10" spans="2:9" ht="24" customHeight="1" x14ac:dyDescent="0.2">
      <c r="B10" s="22" t="s">
        <v>35</v>
      </c>
      <c r="C10" s="24">
        <f>IFERROR('💸 المصروفات'!H21,0)</f>
        <v>25900</v>
      </c>
      <c r="D10" s="85">
        <v>0.2</v>
      </c>
      <c r="E10" s="86">
        <f t="shared" ca="1" si="0"/>
        <v>0.2</v>
      </c>
      <c r="F10" s="23">
        <f>IFERROR(مايو!I104,0)</f>
        <v>0</v>
      </c>
      <c r="G10" s="78">
        <f t="shared" ca="1" si="1"/>
        <v>0.2</v>
      </c>
      <c r="H10" s="19" t="str">
        <f t="shared" si="2"/>
        <v>— لم يبدأ</v>
      </c>
    </row>
    <row r="11" spans="2:9" ht="24" customHeight="1" x14ac:dyDescent="0.2">
      <c r="B11" s="27" t="s">
        <v>36</v>
      </c>
      <c r="C11" s="24">
        <f>IFERROR('💸 المصروفات'!I21,0)</f>
        <v>25900</v>
      </c>
      <c r="D11" s="85">
        <v>0.2</v>
      </c>
      <c r="E11" s="86">
        <f t="shared" ca="1" si="0"/>
        <v>0.2</v>
      </c>
      <c r="F11" s="23">
        <f>IFERROR(يونيو!I104,0)</f>
        <v>0</v>
      </c>
      <c r="G11" s="87">
        <f t="shared" ca="1" si="1"/>
        <v>0.2</v>
      </c>
      <c r="H11" s="29" t="str">
        <f t="shared" si="2"/>
        <v>— لم يبدأ</v>
      </c>
    </row>
    <row r="12" spans="2:9" ht="24" customHeight="1" x14ac:dyDescent="0.2">
      <c r="B12" s="22" t="s">
        <v>37</v>
      </c>
      <c r="C12" s="24">
        <f>IFERROR('💸 المصروفات'!J21,0)</f>
        <v>87850</v>
      </c>
      <c r="D12" s="85">
        <v>0.2</v>
      </c>
      <c r="E12" s="86">
        <f t="shared" ca="1" si="0"/>
        <v>0.2</v>
      </c>
      <c r="F12" s="23">
        <f>IFERROR(يوليو!I104,0)</f>
        <v>0</v>
      </c>
      <c r="G12" s="78">
        <f t="shared" ca="1" si="1"/>
        <v>0.2</v>
      </c>
      <c r="H12" s="19" t="str">
        <f t="shared" si="2"/>
        <v>— لم يبدأ</v>
      </c>
    </row>
    <row r="13" spans="2:9" ht="24" customHeight="1" x14ac:dyDescent="0.2">
      <c r="B13" s="27" t="s">
        <v>38</v>
      </c>
      <c r="C13" s="24">
        <f>IFERROR('💸 المصروفات'!K21,0)</f>
        <v>25900</v>
      </c>
      <c r="D13" s="85">
        <v>0.2</v>
      </c>
      <c r="E13" s="86">
        <f t="shared" ca="1" si="0"/>
        <v>0.2</v>
      </c>
      <c r="F13" s="23">
        <f>IFERROR(أغسطس!I104,0)</f>
        <v>0</v>
      </c>
      <c r="G13" s="87">
        <f t="shared" ca="1" si="1"/>
        <v>0.2</v>
      </c>
      <c r="H13" s="29" t="str">
        <f t="shared" si="2"/>
        <v>— لم يبدأ</v>
      </c>
    </row>
    <row r="14" spans="2:9" ht="24" customHeight="1" x14ac:dyDescent="0.2">
      <c r="B14" s="22" t="s">
        <v>39</v>
      </c>
      <c r="C14" s="24">
        <f>IFERROR('💸 المصروفات'!L21,0)</f>
        <v>87850</v>
      </c>
      <c r="D14" s="85">
        <v>0.2</v>
      </c>
      <c r="E14" s="86">
        <f t="shared" ca="1" si="0"/>
        <v>0.2</v>
      </c>
      <c r="F14" s="23">
        <f>IFERROR(سبتمبر!I104,0)</f>
        <v>0</v>
      </c>
      <c r="G14" s="78">
        <f t="shared" ca="1" si="1"/>
        <v>0.2</v>
      </c>
      <c r="H14" s="19" t="str">
        <f t="shared" si="2"/>
        <v>— لم يبدأ</v>
      </c>
    </row>
    <row r="15" spans="2:9" ht="24" customHeight="1" x14ac:dyDescent="0.2">
      <c r="B15" s="27" t="s">
        <v>40</v>
      </c>
      <c r="C15" s="24">
        <f>IFERROR('💸 المصروفات'!M21,0)</f>
        <v>87850</v>
      </c>
      <c r="D15" s="85">
        <v>0.2</v>
      </c>
      <c r="E15" s="86">
        <f t="shared" ca="1" si="0"/>
        <v>0.2</v>
      </c>
      <c r="F15" s="23">
        <f>IFERROR(أكتوبر!I104,0)</f>
        <v>0</v>
      </c>
      <c r="G15" s="87">
        <f t="shared" ca="1" si="1"/>
        <v>0.2</v>
      </c>
      <c r="H15" s="29" t="str">
        <f t="shared" si="2"/>
        <v>— لم يبدأ</v>
      </c>
    </row>
    <row r="16" spans="2:9" ht="24" customHeight="1" x14ac:dyDescent="0.2">
      <c r="B16" s="22" t="s">
        <v>41</v>
      </c>
      <c r="C16" s="24">
        <f>IFERROR('💸 المصروفات'!N21,0)</f>
        <v>87850</v>
      </c>
      <c r="D16" s="85">
        <v>0.2</v>
      </c>
      <c r="E16" s="86">
        <f t="shared" ca="1" si="0"/>
        <v>0.2</v>
      </c>
      <c r="F16" s="23">
        <f>IFERROR(نوفمبر!I104,0)</f>
        <v>0</v>
      </c>
      <c r="G16" s="78">
        <f t="shared" ca="1" si="1"/>
        <v>0.2</v>
      </c>
      <c r="H16" s="19" t="str">
        <f t="shared" si="2"/>
        <v>— لم يبدأ</v>
      </c>
    </row>
    <row r="17" spans="2:9" ht="24" customHeight="1" x14ac:dyDescent="0.2">
      <c r="B17" s="27" t="s">
        <v>42</v>
      </c>
      <c r="C17" s="24">
        <f>IFERROR('💸 المصروفات'!O21,0)</f>
        <v>87850</v>
      </c>
      <c r="D17" s="85">
        <v>0.2</v>
      </c>
      <c r="E17" s="86">
        <f t="shared" ca="1" si="0"/>
        <v>0.2</v>
      </c>
      <c r="F17" s="23">
        <f>IFERROR(ديسمبر!I104,0)</f>
        <v>0</v>
      </c>
      <c r="G17" s="87">
        <f t="shared" ca="1" si="1"/>
        <v>0.2</v>
      </c>
      <c r="H17" s="29" t="str">
        <f t="shared" si="2"/>
        <v>— لم يبدأ</v>
      </c>
    </row>
    <row r="18" spans="2:9" ht="27.75" customHeight="1" x14ac:dyDescent="0.2">
      <c r="B18" s="88" t="s">
        <v>43</v>
      </c>
      <c r="C18" s="89">
        <f>SUM(D6:D17)</f>
        <v>2.4</v>
      </c>
      <c r="D18" s="39"/>
      <c r="E18" s="90">
        <f>SUM(F6:F17)</f>
        <v>0</v>
      </c>
      <c r="F18" s="62">
        <f ca="1">SUM(G6:G17)</f>
        <v>2.4</v>
      </c>
      <c r="G18" s="91">
        <f ca="1">SUM(G6:G17)</f>
        <v>2.4</v>
      </c>
      <c r="H18" s="92" t="str">
        <f ca="1">IF(F18&gt;=E18,"✅ سنة رابحة","❌ محتاج تحسين")</f>
        <v>✅ سنة رابحة</v>
      </c>
    </row>
    <row r="19" spans="2:9" ht="9.75" customHeight="1" x14ac:dyDescent="0.2"/>
    <row r="20" spans="2:9" ht="27.75" customHeight="1" x14ac:dyDescent="0.2">
      <c r="B20" s="13" t="s">
        <v>488</v>
      </c>
      <c r="C20" s="13"/>
      <c r="D20" s="13"/>
      <c r="E20" s="13"/>
      <c r="F20" s="13"/>
      <c r="G20" s="13"/>
      <c r="H20" s="13"/>
      <c r="I20" s="13"/>
    </row>
    <row r="21" spans="2:9" ht="31.5" customHeight="1" x14ac:dyDescent="0.2">
      <c r="B21" s="6" t="s">
        <v>489</v>
      </c>
      <c r="C21" s="6"/>
      <c r="D21" s="93" t="s">
        <v>2</v>
      </c>
      <c r="E21" s="137" t="s">
        <v>490</v>
      </c>
      <c r="F21" s="137"/>
      <c r="G21" s="137"/>
      <c r="H21" s="137"/>
      <c r="I21" s="137"/>
    </row>
    <row r="22" spans="2:9" ht="25.5" customHeight="1" x14ac:dyDescent="0.2">
      <c r="B22" s="20" t="s">
        <v>491</v>
      </c>
      <c r="C22" s="65">
        <f>IFERROR(INDEX(D6:D17,MATCH($D$21,{"يناير","فبراير","مارس","أبريل","مايو","يونيو","يوليو","أغسطس","سبتمبر","أكتوبر","نوفمبر","ديسمبر"},0)),0)</f>
        <v>0.2</v>
      </c>
      <c r="D22" s="20" t="s">
        <v>492</v>
      </c>
      <c r="E22" s="94">
        <f ca="1">IFERROR(INDEX(E6:E17,MATCH($D$21,{"يناير","فبراير","مارس","أبريل","مايو","يونيو","يوليو","أغسطس","سبتمبر","أكتوبر","نوفمبر","ديسمبر"},0)),0)</f>
        <v>0.2</v>
      </c>
      <c r="F22" s="20" t="s">
        <v>493</v>
      </c>
      <c r="G22" s="95">
        <f>IFERROR(INDEX(F6:F17,MATCH($D$21,{"يناير","فبراير","مارس","أبريل","مايو","يونيو","يوليو","أغسطس","سبتمبر","أكتوبر","نوفمبر","ديسمبر"},0)),0)</f>
        <v>0</v>
      </c>
      <c r="H22" s="20" t="s">
        <v>494</v>
      </c>
      <c r="I22" s="51">
        <f ca="1">IFERROR(INDEX(G6:G17,MATCH($D$21,{"يناير","فبراير","مارس","أبريل","مايو","يونيو","يوليو","أغسطس","سبتمبر","أكتوبر","نوفمبر","ديسمبر"},0)),0)</f>
        <v>0.2</v>
      </c>
    </row>
    <row r="23" spans="2:9" ht="7.5" customHeight="1" x14ac:dyDescent="0.2"/>
    <row r="24" spans="2:9" ht="30" customHeight="1" x14ac:dyDescent="0.2">
      <c r="B24" s="21" t="s">
        <v>20</v>
      </c>
      <c r="C24" s="21" t="s">
        <v>74</v>
      </c>
      <c r="D24" s="21" t="s">
        <v>75</v>
      </c>
      <c r="E24" s="21" t="s">
        <v>495</v>
      </c>
      <c r="F24" s="21" t="s">
        <v>496</v>
      </c>
      <c r="G24" s="21" t="s">
        <v>497</v>
      </c>
      <c r="H24" s="21" t="s">
        <v>498</v>
      </c>
      <c r="I24" s="21" t="s">
        <v>499</v>
      </c>
    </row>
    <row r="25" spans="2:9" ht="21.75" customHeight="1" x14ac:dyDescent="0.2">
      <c r="B25" s="96" t="s">
        <v>500</v>
      </c>
      <c r="C25" s="42" t="s">
        <v>501</v>
      </c>
      <c r="D25" s="23">
        <f>'⚙️ الإعدادات'!E5</f>
        <v>3500</v>
      </c>
      <c r="E25" s="97">
        <f>IFERROR(CEILING(IFERROR(INDEX(F6:F17,MATCH($D$21,{"يناير","فبراير","مارس","أبريل","مايو","يونيو","يوليو","أغسطس","سبتمبر","أكتوبر","نوفمبر","ديسمبر"},0)),1)/'⚙️ الإعدادات'!E5,1),0)</f>
        <v>0</v>
      </c>
      <c r="F25" s="23">
        <f>50*'⚙️ الإعدادات'!E5</f>
        <v>175000</v>
      </c>
      <c r="G25" s="23">
        <f>30*'⚙️ الإعدادات'!E5</f>
        <v>105000</v>
      </c>
      <c r="H25" s="98">
        <f>IFERROR(50*'⚙️ الإعدادات'!E5/IFERROR(INDEX(F6:F17,MATCH($D$21,{"يناير","فبراير","مارس","أبريل","مايو","يونيو","يوليو","أغسطس","سبتمبر","أكتوبر","نوفمبر","ديسمبر"},0)),1),0)</f>
        <v>0</v>
      </c>
      <c r="I25" s="99">
        <f>IFERROR(30*'⚙️ الإعدادات'!E5/IFERROR(INDEX(F6:F17,MATCH($D$21,{"يناير","فبراير","مارس","أبريل","مايو","يونيو","يوليو","أغسطس","سبتمبر","أكتوبر","نوفمبر","ديسمبر"},0)),1),0)</f>
        <v>0</v>
      </c>
    </row>
    <row r="26" spans="2:9" ht="21.75" customHeight="1" x14ac:dyDescent="0.2">
      <c r="B26" s="100" t="s">
        <v>500</v>
      </c>
      <c r="C26" s="101" t="s">
        <v>502</v>
      </c>
      <c r="D26" s="102">
        <f>'⚙️ الإعدادات'!D5</f>
        <v>200</v>
      </c>
      <c r="E26" s="97">
        <f>IFERROR(CEILING(IFERROR(INDEX(F6:F17,MATCH($D$21,{"يناير","فبراير","مارس","أبريل","مايو","يونيو","يوليو","أغسطس","سبتمبر","أكتوبر","نوفمبر","ديسمبر"},0)),1)/'⚙️ الإعدادات'!D5,1),0)</f>
        <v>0</v>
      </c>
      <c r="F26" s="102">
        <f>50*'⚙️ الإعدادات'!D5</f>
        <v>10000</v>
      </c>
      <c r="G26" s="102">
        <f>30*'⚙️ الإعدادات'!D5</f>
        <v>6000</v>
      </c>
      <c r="H26" s="98">
        <f>IFERROR(50*'⚙️ الإعدادات'!D5/IFERROR(INDEX(F6:F17,MATCH($D$21,{"يناير","فبراير","مارس","أبريل","مايو","يونيو","يوليو","أغسطس","سبتمبر","أكتوبر","نوفمبر","ديسمبر"},0)),1),0)</f>
        <v>0</v>
      </c>
      <c r="I26" s="99">
        <f>IFERROR(30*'⚙️ الإعدادات'!D5/IFERROR(INDEX(F6:F17,MATCH($D$21,{"يناير","فبراير","مارس","أبريل","مايو","يونيو","يوليو","أغسطس","سبتمبر","أكتوبر","نوفمبر","ديسمبر"},0)),1),0)</f>
        <v>0</v>
      </c>
    </row>
    <row r="27" spans="2:9" ht="21.75" customHeight="1" x14ac:dyDescent="0.2">
      <c r="B27" s="96" t="s">
        <v>500</v>
      </c>
      <c r="C27" s="42" t="s">
        <v>503</v>
      </c>
      <c r="D27" s="23">
        <f>'⚙️ الإعدادات'!C5</f>
        <v>50</v>
      </c>
      <c r="E27" s="97">
        <f>IFERROR(CEILING(IFERROR(INDEX(F6:F17,MATCH($D$21,{"يناير","فبراير","مارس","أبريل","مايو","يونيو","يوليو","أغسطس","سبتمبر","أكتوبر","نوفمبر","ديسمبر"},0)),1)/'⚙️ الإعدادات'!C5,1),0)</f>
        <v>0</v>
      </c>
      <c r="F27" s="23">
        <f>50*'⚙️ الإعدادات'!C5</f>
        <v>2500</v>
      </c>
      <c r="G27" s="23">
        <f>30*'⚙️ الإعدادات'!C5</f>
        <v>1500</v>
      </c>
      <c r="H27" s="98">
        <f>IFERROR(50*'⚙️ الإعدادات'!C5/IFERROR(INDEX(F6:F17,MATCH($D$21,{"يناير","فبراير","مارس","أبريل","مايو","يونيو","يوليو","أغسطس","سبتمبر","أكتوبر","نوفمبر","ديسمبر"},0)),1),0)</f>
        <v>0</v>
      </c>
      <c r="I27" s="99">
        <f>IFERROR(30*'⚙️ الإعدادات'!C5/IFERROR(INDEX(F6:F17,MATCH($D$21,{"يناير","فبراير","مارس","أبريل","مايو","يونيو","يوليو","أغسطس","سبتمبر","أكتوبر","نوفمبر","ديسمبر"},0)),1),0)</f>
        <v>0</v>
      </c>
    </row>
    <row r="28" spans="2:9" ht="21.75" customHeight="1" x14ac:dyDescent="0.2">
      <c r="B28" s="103" t="s">
        <v>24</v>
      </c>
      <c r="C28" s="44" t="s">
        <v>501</v>
      </c>
      <c r="D28" s="104">
        <f>'⚙️ الإعدادات'!E6</f>
        <v>2500</v>
      </c>
      <c r="E28" s="97">
        <f>IFERROR(CEILING(IFERROR(INDEX(F6:F17,MATCH($D$21,{"يناير","فبراير","مارس","أبريل","مايو","يونيو","يوليو","أغسطس","سبتمبر","أكتوبر","نوفمبر","ديسمبر"},0)),1)/'⚙️ الإعدادات'!E6,1),0)</f>
        <v>0</v>
      </c>
      <c r="F28" s="104">
        <f>50*'⚙️ الإعدادات'!E6</f>
        <v>125000</v>
      </c>
      <c r="G28" s="104">
        <f>30*'⚙️ الإعدادات'!E6</f>
        <v>75000</v>
      </c>
      <c r="H28" s="98">
        <f>IFERROR(50*'⚙️ الإعدادات'!E6/IFERROR(INDEX(F6:F17,MATCH($D$21,{"يناير","فبراير","مارس","أبريل","مايو","يونيو","يوليو","أغسطس","سبتمبر","أكتوبر","نوفمبر","ديسمبر"},0)),1),0)</f>
        <v>0</v>
      </c>
      <c r="I28" s="99">
        <f>IFERROR(30*'⚙️ الإعدادات'!E6/IFERROR(INDEX(F6:F17,MATCH($D$21,{"يناير","فبراير","مارس","أبريل","مايو","يونيو","يوليو","أغسطس","سبتمبر","أكتوبر","نوفمبر","ديسمبر"},0)),1),0)</f>
        <v>0</v>
      </c>
    </row>
    <row r="29" spans="2:9" ht="21.75" customHeight="1" x14ac:dyDescent="0.2">
      <c r="B29" s="105" t="s">
        <v>24</v>
      </c>
      <c r="C29" s="106" t="s">
        <v>502</v>
      </c>
      <c r="D29" s="107">
        <f>'⚙️ الإعدادات'!D6</f>
        <v>150</v>
      </c>
      <c r="E29" s="97">
        <f>IFERROR(CEILING(IFERROR(INDEX(F6:F17,MATCH($D$21,{"يناير","فبراير","مارس","أبريل","مايو","يونيو","يوليو","أغسطس","سبتمبر","أكتوبر","نوفمبر","ديسمبر"},0)),1)/'⚙️ الإعدادات'!D6,1),0)</f>
        <v>0</v>
      </c>
      <c r="F29" s="107">
        <f>50*'⚙️ الإعدادات'!D6</f>
        <v>7500</v>
      </c>
      <c r="G29" s="107">
        <f>30*'⚙️ الإعدادات'!D6</f>
        <v>4500</v>
      </c>
      <c r="H29" s="98">
        <f>IFERROR(50*'⚙️ الإعدادات'!D6/IFERROR(INDEX(F6:F17,MATCH($D$21,{"يناير","فبراير","مارس","أبريل","مايو","يونيو","يوليو","أغسطس","سبتمبر","أكتوبر","نوفمبر","ديسمبر"},0)),1),0)</f>
        <v>0</v>
      </c>
      <c r="I29" s="99">
        <f>IFERROR(30*'⚙️ الإعدادات'!D6/IFERROR(INDEX(F6:F17,MATCH($D$21,{"يناير","فبراير","مارس","أبريل","مايو","يونيو","يوليو","أغسطس","سبتمبر","أكتوبر","نوفمبر","ديسمبر"},0)),1),0)</f>
        <v>0</v>
      </c>
    </row>
    <row r="30" spans="2:9" ht="21.75" customHeight="1" x14ac:dyDescent="0.2">
      <c r="B30" s="103" t="s">
        <v>24</v>
      </c>
      <c r="C30" s="44" t="s">
        <v>503</v>
      </c>
      <c r="D30" s="104">
        <f>'⚙️ الإعدادات'!C6</f>
        <v>40</v>
      </c>
      <c r="E30" s="97">
        <f>IFERROR(CEILING(IFERROR(INDEX(F6:F17,MATCH($D$21,{"يناير","فبراير","مارس","أبريل","مايو","يونيو","يوليو","أغسطس","سبتمبر","أكتوبر","نوفمبر","ديسمبر"},0)),1)/'⚙️ الإعدادات'!C6,1),0)</f>
        <v>0</v>
      </c>
      <c r="F30" s="104">
        <f>50*'⚙️ الإعدادات'!C6</f>
        <v>2000</v>
      </c>
      <c r="G30" s="104">
        <f>30*'⚙️ الإعدادات'!C6</f>
        <v>1200</v>
      </c>
      <c r="H30" s="98">
        <f>IFERROR(50*'⚙️ الإعدادات'!C6/IFERROR(INDEX(F6:F17,MATCH($D$21,{"يناير","فبراير","مارس","أبريل","مايو","يونيو","يوليو","أغسطس","سبتمبر","أكتوبر","نوفمبر","ديسمبر"},0)),1),0)</f>
        <v>0</v>
      </c>
      <c r="I30" s="99">
        <f>IFERROR(30*'⚙️ الإعدادات'!C6/IFERROR(INDEX(F6:F17,MATCH($D$21,{"يناير","فبراير","مارس","أبريل","مايو","يونيو","يوليو","أغسطس","سبتمبر","أكتوبر","نوفمبر","ديسمبر"},0)),1),0)</f>
        <v>0</v>
      </c>
    </row>
    <row r="31" spans="2:9" ht="21.75" customHeight="1" x14ac:dyDescent="0.2">
      <c r="B31" s="108" t="s">
        <v>11</v>
      </c>
      <c r="C31" s="46" t="s">
        <v>503</v>
      </c>
      <c r="D31" s="67">
        <f>'⚙️ الإعدادات'!C7</f>
        <v>200</v>
      </c>
      <c r="E31" s="97">
        <f>IFERROR(CEILING(IFERROR(INDEX(F6:F17,MATCH($D$21,{"يناير","فبراير","مارس","أبريل","مايو","يونيو","يوليو","أغسطس","سبتمبر","أكتوبر","نوفمبر","ديسمبر"},0)),1)/'⚙️ الإعدادات'!C7,1),0)</f>
        <v>0</v>
      </c>
      <c r="F31" s="67">
        <f>50*'⚙️ الإعدادات'!C7</f>
        <v>10000</v>
      </c>
      <c r="G31" s="67">
        <f>30*'⚙️ الإعدادات'!C7</f>
        <v>6000</v>
      </c>
      <c r="H31" s="98">
        <f>IFERROR(50*'⚙️ الإعدادات'!C7/IFERROR(INDEX(F6:F17,MATCH($D$21,{"يناير","فبراير","مارس","أبريل","مايو","يونيو","يوليو","أغسطس","سبتمبر","أكتوبر","نوفمبر","ديسمبر"},0)),1),0)</f>
        <v>0</v>
      </c>
      <c r="I31" s="99">
        <f>IFERROR(30*'⚙️ الإعدادات'!C7/IFERROR(INDEX(F6:F17,MATCH($D$21,{"يناير","فبراير","مارس","أبريل","مايو","يونيو","يوليو","أغسطس","سبتمبر","أكتوبر","نوفمبر","ديسمبر"},0)),1),0)</f>
        <v>0</v>
      </c>
    </row>
    <row r="32" spans="2:9" ht="21.75" customHeight="1" x14ac:dyDescent="0.2">
      <c r="B32" s="108" t="s">
        <v>11</v>
      </c>
      <c r="C32" s="46" t="s">
        <v>502</v>
      </c>
      <c r="D32" s="67">
        <f>'⚙️ الإعدادات'!D7</f>
        <v>600</v>
      </c>
      <c r="E32" s="97">
        <f>IFERROR(CEILING(IFERROR(INDEX(F6:F17,MATCH($D$21,{"يناير","فبراير","مارس","أبريل","مايو","يونيو","يوليو","أغسطس","سبتمبر","أكتوبر","نوفمبر","ديسمبر"},0)),1)/'⚙️ الإعدادات'!D7,1),0)</f>
        <v>0</v>
      </c>
      <c r="F32" s="67">
        <f>50*'⚙️ الإعدادات'!D7</f>
        <v>30000</v>
      </c>
      <c r="G32" s="67">
        <f>30*'⚙️ الإعدادات'!D7</f>
        <v>18000</v>
      </c>
      <c r="H32" s="98">
        <f>IFERROR(50*'⚙️ الإعدادات'!D7/IFERROR(INDEX(F6:F17,MATCH($D$21,{"يناير","فبراير","مارس","أبريل","مايو","يونيو","يوليو","أغسطس","سبتمبر","أكتوبر","نوفمبر","ديسمبر"},0)),1),0)</f>
        <v>0</v>
      </c>
      <c r="I32" s="99">
        <f>IFERROR(30*'⚙️ الإعدادات'!D7/IFERROR(INDEX(F6:F17,MATCH($D$21,{"يناير","فبراير","مارس","أبريل","مايو","يونيو","يوليو","أغسطس","سبتمبر","أكتوبر","نوفمبر","ديسمبر"},0)),1),0)</f>
        <v>0</v>
      </c>
    </row>
    <row r="33" spans="2:9" ht="9.75" customHeight="1" x14ac:dyDescent="0.2"/>
    <row r="34" spans="2:9" ht="27.75" customHeight="1" x14ac:dyDescent="0.2">
      <c r="B34" s="154" t="s">
        <v>504</v>
      </c>
      <c r="C34" s="154"/>
      <c r="D34" s="154"/>
      <c r="E34" s="154"/>
      <c r="F34" s="154"/>
      <c r="G34" s="154"/>
      <c r="H34" s="154"/>
      <c r="I34" s="154"/>
    </row>
    <row r="35" spans="2:9" ht="18" customHeight="1" x14ac:dyDescent="0.2">
      <c r="B35" s="128" t="s">
        <v>505</v>
      </c>
      <c r="C35" s="128"/>
      <c r="D35" s="128"/>
      <c r="E35" s="128"/>
      <c r="F35" s="128"/>
      <c r="G35" s="128"/>
      <c r="H35" s="128"/>
      <c r="I35" s="128"/>
    </row>
    <row r="36" spans="2:9" ht="30" customHeight="1" x14ac:dyDescent="0.2">
      <c r="B36" s="21" t="s">
        <v>20</v>
      </c>
      <c r="C36" s="21" t="s">
        <v>74</v>
      </c>
      <c r="D36" s="21" t="s">
        <v>75</v>
      </c>
      <c r="E36" s="21" t="s">
        <v>506</v>
      </c>
      <c r="F36" s="21" t="s">
        <v>507</v>
      </c>
      <c r="G36" s="39"/>
      <c r="H36" s="39"/>
      <c r="I36" s="39"/>
    </row>
    <row r="37" spans="2:9" ht="24" customHeight="1" x14ac:dyDescent="0.2">
      <c r="B37" s="96" t="s">
        <v>500</v>
      </c>
      <c r="C37" s="42" t="s">
        <v>501</v>
      </c>
      <c r="D37" s="23">
        <f>'⚙️ الإعدادات'!E5</f>
        <v>3500</v>
      </c>
      <c r="E37" s="109">
        <v>0</v>
      </c>
      <c r="F37" s="110">
        <f t="shared" ref="F37:F44" si="3">E37*D37</f>
        <v>0</v>
      </c>
      <c r="G37" s="42"/>
      <c r="H37" s="42"/>
      <c r="I37" s="42"/>
    </row>
    <row r="38" spans="2:9" ht="24" customHeight="1" x14ac:dyDescent="0.2">
      <c r="B38" s="100" t="s">
        <v>500</v>
      </c>
      <c r="C38" s="101" t="s">
        <v>502</v>
      </c>
      <c r="D38" s="102">
        <f>'⚙️ الإعدادات'!D5</f>
        <v>200</v>
      </c>
      <c r="E38" s="109">
        <v>0</v>
      </c>
      <c r="F38" s="110">
        <f t="shared" si="3"/>
        <v>0</v>
      </c>
      <c r="G38" s="101"/>
      <c r="H38" s="101"/>
      <c r="I38" s="101"/>
    </row>
    <row r="39" spans="2:9" ht="24" customHeight="1" x14ac:dyDescent="0.2">
      <c r="B39" s="96" t="s">
        <v>500</v>
      </c>
      <c r="C39" s="42" t="s">
        <v>503</v>
      </c>
      <c r="D39" s="23">
        <f>'⚙️ الإعدادات'!C5</f>
        <v>50</v>
      </c>
      <c r="E39" s="109">
        <v>0</v>
      </c>
      <c r="F39" s="110">
        <f t="shared" si="3"/>
        <v>0</v>
      </c>
      <c r="G39" s="42"/>
      <c r="H39" s="42"/>
      <c r="I39" s="42"/>
    </row>
    <row r="40" spans="2:9" ht="24" customHeight="1" x14ac:dyDescent="0.2">
      <c r="B40" s="103" t="s">
        <v>24</v>
      </c>
      <c r="C40" s="44" t="s">
        <v>501</v>
      </c>
      <c r="D40" s="104">
        <f>'⚙️ الإعدادات'!E6</f>
        <v>2500</v>
      </c>
      <c r="E40" s="109">
        <v>0</v>
      </c>
      <c r="F40" s="110">
        <f t="shared" si="3"/>
        <v>0</v>
      </c>
      <c r="G40" s="44"/>
      <c r="H40" s="44"/>
      <c r="I40" s="44"/>
    </row>
    <row r="41" spans="2:9" ht="24" customHeight="1" x14ac:dyDescent="0.2">
      <c r="B41" s="105" t="s">
        <v>24</v>
      </c>
      <c r="C41" s="106" t="s">
        <v>502</v>
      </c>
      <c r="D41" s="107">
        <f>'⚙️ الإعدادات'!D6</f>
        <v>150</v>
      </c>
      <c r="E41" s="109">
        <v>0</v>
      </c>
      <c r="F41" s="110">
        <f t="shared" si="3"/>
        <v>0</v>
      </c>
      <c r="G41" s="106"/>
      <c r="H41" s="106"/>
      <c r="I41" s="106"/>
    </row>
    <row r="42" spans="2:9" ht="24" customHeight="1" x14ac:dyDescent="0.2">
      <c r="B42" s="103" t="s">
        <v>24</v>
      </c>
      <c r="C42" s="44" t="s">
        <v>503</v>
      </c>
      <c r="D42" s="104">
        <f>'⚙️ الإعدادات'!C6</f>
        <v>40</v>
      </c>
      <c r="E42" s="109">
        <v>0</v>
      </c>
      <c r="F42" s="110">
        <f t="shared" si="3"/>
        <v>0</v>
      </c>
      <c r="G42" s="44"/>
      <c r="H42" s="44"/>
      <c r="I42" s="44"/>
    </row>
    <row r="43" spans="2:9" ht="24" customHeight="1" x14ac:dyDescent="0.2">
      <c r="B43" s="108" t="s">
        <v>11</v>
      </c>
      <c r="C43" s="46" t="s">
        <v>503</v>
      </c>
      <c r="D43" s="67">
        <f>'⚙️ الإعدادات'!C7</f>
        <v>200</v>
      </c>
      <c r="E43" s="109">
        <v>0</v>
      </c>
      <c r="F43" s="110">
        <f t="shared" si="3"/>
        <v>0</v>
      </c>
      <c r="G43" s="46"/>
      <c r="H43" s="46"/>
      <c r="I43" s="46"/>
    </row>
    <row r="44" spans="2:9" ht="24" customHeight="1" x14ac:dyDescent="0.2">
      <c r="B44" s="108" t="s">
        <v>11</v>
      </c>
      <c r="C44" s="46" t="s">
        <v>502</v>
      </c>
      <c r="D44" s="67">
        <f>'⚙️ الإعدادات'!D7</f>
        <v>600</v>
      </c>
      <c r="E44" s="109">
        <v>0</v>
      </c>
      <c r="F44" s="110">
        <f t="shared" si="3"/>
        <v>0</v>
      </c>
      <c r="G44" s="46"/>
      <c r="H44" s="46"/>
      <c r="I44" s="46"/>
    </row>
    <row r="45" spans="2:9" ht="30" customHeight="1" x14ac:dyDescent="0.2">
      <c r="B45" s="155" t="s">
        <v>508</v>
      </c>
      <c r="C45" s="155"/>
      <c r="D45" s="155"/>
      <c r="E45" s="155"/>
      <c r="F45" s="111">
        <f>SUM(F37:F44)</f>
        <v>0</v>
      </c>
      <c r="G45" s="39"/>
      <c r="H45" s="39"/>
      <c r="I45" s="39"/>
    </row>
    <row r="46" spans="2:9" ht="33.75" customHeight="1" x14ac:dyDescent="0.2">
      <c r="B46" s="6" t="s">
        <v>509</v>
      </c>
      <c r="C46" s="6"/>
      <c r="D46" s="6"/>
      <c r="E46" s="156" t="str">
        <f>IF(IFERROR(INDEX(F6:F17,MATCH($D$21,{"يناير","فبراير","مارس","أبريل","مايو","يونيو","يوليو","أغسطس","سبتمبر","أكتوبر","نوفمبر","ديسمبر"},0)),1)=0,"أدخل المصروفات أولاً في الجدول أعلاه",IF(F45&gt;=IFERROR(INDEX(F6:F17,MATCH($D$21,{"يناير","فبراير","مارس","أبريل","مايو","يونيو","يوليو","أغسطس","سبتمبر","أكتوبر","نوفمبر","ديسمبر"},0)),1),"✅ ممتاز! الإيراد المتوقع "&amp;TEXT(F45,"#,##0")&amp;" ج.م يتجاوز التارجت بـ "&amp;TEXT(F45-IFERROR(INDEX(F6:F17,MATCH($D$21,{"يناير","فبراير","مارس","أبريل","مايو","يونيو","يوليو","أغسطس","سبتمبر","أكتوبر","نوفمبر","ديسمبر"},0)),1),"#,##0")&amp;" ج.م","❌ لا يكفي — ينقصك "&amp;TEXT(IFERROR(INDEX(F6:F17,MATCH($D$21,{"يناير","فبراير","مارس","أبريل","مايو","يونيو","يوليو","أغسطس","سبتمبر","أكتوبر","نوفمبر","ديسمبر"},0)),1)-F45,"#,##0")&amp;" ج.م ("&amp;TEXT(IFERROR(F45/IFERROR(INDEX(F6:F17,MATCH($D$21,{"يناير","فبراير","مارس","أبريل","مايو","يونيو","يوليو","أغسطس","سبتمبر","أكتوبر","نوفمبر","ديسمبر"},0)),1),0),"0%")&amp;" من الهدف)"))</f>
        <v>أدخل المصروفات أولاً في الجدول أعلاه</v>
      </c>
      <c r="F46" s="156"/>
      <c r="G46" s="156"/>
      <c r="H46" s="156"/>
      <c r="I46" s="156"/>
    </row>
    <row r="47" spans="2:9" ht="7.5" customHeight="1" x14ac:dyDescent="0.2"/>
    <row r="48" spans="2:9" ht="27.75" customHeight="1" x14ac:dyDescent="0.2">
      <c r="B48" s="112" t="s">
        <v>510</v>
      </c>
      <c r="C48" s="113"/>
      <c r="D48" s="114">
        <f>IFERROR(F45/IFERROR(INDEX(F6:F17,MATCH($D$21,{"يناير","فبراير","مارس","أبريل","مايو","يونيو","يوليو","أغسطس","سبتمبر","أكتوبر","نوفمبر","ديسمبر"},0)),1),0)</f>
        <v>0</v>
      </c>
      <c r="E48" s="157" t="str">
        <f>REPT("█",MIN(ROUND(IFERROR(F45/IFERROR(INDEX(F6:F17,MATCH($D$21,{"يناير","فبراير","مارس","أبريل","مايو","يونيو","يوليو","أغسطس","سبتمبر","أكتوبر","نوفمبر","ديسمبر"},0)),1),0)*20,0),20))&amp;REPT("░",MAX(20-ROUND(IFERROR(F45/IFERROR(INDEX(F6:F17,MATCH($D$21,{"يناير","فبراير","مارس","أبريل","مايو","يونيو","يوليو","أغسطس","سبتمبر","أكتوبر","نوفمبر","ديسمبر"},0)),1),0)*20,0),0))</f>
        <v>░░░░░░░░░░░░░░░░░░░░</v>
      </c>
      <c r="F48" s="157"/>
      <c r="G48" s="157"/>
      <c r="H48" s="157"/>
      <c r="I48" s="157"/>
    </row>
  </sheetData>
  <sheetProtection password="CC3D" sheet="1" formatCells="0" formatColumns="0" formatRows="0"/>
  <mergeCells count="11">
    <mergeCell ref="E48:I48"/>
    <mergeCell ref="B34:I34"/>
    <mergeCell ref="B35:I35"/>
    <mergeCell ref="B45:E45"/>
    <mergeCell ref="B46:D46"/>
    <mergeCell ref="E46:I46"/>
    <mergeCell ref="B1:I1"/>
    <mergeCell ref="B3:I3"/>
    <mergeCell ref="B20:I20"/>
    <mergeCell ref="B21:C21"/>
    <mergeCell ref="E21:I21"/>
  </mergeCells>
  <dataValidations count="1">
    <dataValidation type="list" sqref="D21" xr:uid="{00000000-0002-0000-1200-000000000000}">
      <formula1>"يناير,فبراير,مارس,أبريل,مايو,يونيو,يوليو,أغسطس,سبتمبر,أكتوبر,نوفمبر,ديسمبر"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441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المصروفات'!D20,0)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الرواتب'!L15,0)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المصروفات'!D21,0)</f>
        <v>25900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المصروفات'!D21,0)</f>
        <v>-25900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المصروفات'!D21/(1-'⚙️ الإعدادات'!C7),0)</f>
        <v>-130.15075376884423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500-000000000000}">
      <formula1>"حضانة,استضافة,جلسة"</formula1>
      <formula2>0</formula2>
    </dataValidation>
    <dataValidation type="list" allowBlank="1" sqref="E4:E103" xr:uid="{00000000-0002-0000-05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456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المصروفات'!E20,0)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الرواتب'!M15,0)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المصروفات'!E21,0)</f>
        <v>81900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المصروفات'!E21,0)</f>
        <v>-81900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المصروفات'!E21/(1-'⚙️ الإعدادات'!C7),0)</f>
        <v>-411.5577889447236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600-000000000000}">
      <formula1>"حضانة,استضافة,جلسة"</formula1>
      <formula2>0</formula2>
    </dataValidation>
    <dataValidation type="list" allowBlank="1" sqref="E4:E103" xr:uid="{00000000-0002-0000-06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457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المصروفات'!F20,0)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الرواتب'!N15,0)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المصروفات'!F21,0)</f>
        <v>29500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المصروفات'!F21,0)</f>
        <v>-29500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المصروفات'!F21/(1-'⚙️ الإعدادات'!C7),0)</f>
        <v>-148.24120603015075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700-000000000000}">
      <formula1>"حضانة,استضافة,جلسة"</formula1>
      <formula2>0</formula2>
    </dataValidation>
    <dataValidation type="list" allowBlank="1" sqref="E4:E103" xr:uid="{00000000-0002-0000-07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458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المصروفات'!G20,0)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الرواتب'!O15,0)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المصروفات'!G21,0)</f>
        <v>28250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المصروفات'!G21,0)</f>
        <v>-28250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المصروفات'!G21/(1-'⚙️ الإعدادات'!C7),0)</f>
        <v>-141.95979899497488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800-000000000000}">
      <formula1>"حضانة,استضافة,جلسة"</formula1>
      <formula2>0</formula2>
    </dataValidation>
    <dataValidation type="list" allowBlank="1" sqref="E4:E103" xr:uid="{00000000-0002-0000-08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459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المصروفات'!H20,0)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الرواتب'!P15,0)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المصروفات'!H21,0)</f>
        <v>25900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المصروفات'!H21,0)</f>
        <v>-25900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المصروفات'!H21/(1-'⚙️ الإعدادات'!C7),0)</f>
        <v>-130.15075376884423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900-000000000000}">
      <formula1>"حضانة,استضافة,جلسة"</formula1>
      <formula2>0</formula2>
    </dataValidation>
    <dataValidation type="list" allowBlank="1" sqref="E4:E103" xr:uid="{00000000-0002-0000-09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المصروفات'!I20,0)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الرواتب'!Q15,0)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المصروفات'!I21,0)</f>
        <v>25900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المصروفات'!I21,0)</f>
        <v>-25900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المصروفات'!I21/(1-'⚙️ الإعدادات'!C7),0)</f>
        <v>-130.15075376884423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A00-000000000000}">
      <formula1>"حضانة,استضافة,جلسة"</formula1>
      <formula2>0</formula2>
    </dataValidation>
    <dataValidation type="list" allowBlank="1" sqref="E4:E103" xr:uid="{00000000-0002-0000-0A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461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المصروفات'!J20,0)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الرواتب'!R15,0)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المصروفات'!J21,0)</f>
        <v>87850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المصروفات'!J21,0)</f>
        <v>-87850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المصروفات'!J21/(1-'⚙️ الإعدادات'!C7),0)</f>
        <v>-441.4572864321608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B00-000000000000}">
      <formula1>"حضانة,استضافة,جلسة"</formula1>
      <formula2>0</formula2>
    </dataValidation>
    <dataValidation type="list" allowBlank="1" sqref="E4:E103" xr:uid="{00000000-0002-0000-0B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114"/>
  <sheetViews>
    <sheetView showGridLines="0" rightToLeft="1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462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المصروفات'!K20,0)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الرواتب'!S15,0)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المصروفات'!K21,0)</f>
        <v>25900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المصروفات'!K21,0)</f>
        <v>-25900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المصروفات'!K21/(1-'⚙️ الإعدادات'!C7),0)</f>
        <v>-130.15075376884423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C00-000000000000}">
      <formula1>"حضانة,استضافة,جلسة"</formula1>
      <formula2>0</formula2>
    </dataValidation>
    <dataValidation type="list" allowBlank="1" sqref="E4:E103" xr:uid="{00000000-0002-0000-0C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463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المصروفات'!L20,0)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الرواتب'!T15,0)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المصروفات'!L21,0)</f>
        <v>87850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المصروفات'!L21,0)</f>
        <v>-87850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المصروفات'!L21/(1-'⚙️ الإعدادات'!C7),0)</f>
        <v>-441.4572864321608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D00-000000000000}">
      <formula1>"حضانة,استضافة,جلسة"</formula1>
      <formula2>0</formula2>
    </dataValidation>
    <dataValidation type="list" allowBlank="1" sqref="E4:E103" xr:uid="{00000000-0002-0000-0D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464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المصروفات'!M20,0)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الرواتب'!U15,0)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المصروفات'!M21,0)</f>
        <v>87850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المصروفات'!M21,0)</f>
        <v>-87850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المصروفات'!M21/(1-'⚙️ الإعدادات'!C7),0)</f>
        <v>-441.4572864321608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E00-000000000000}">
      <formula1>"حضانة,استضافة,جلسة"</formula1>
      <formula2>0</formula2>
    </dataValidation>
    <dataValidation type="list" allowBlank="1" sqref="E4:E103" xr:uid="{00000000-0002-0000-0E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465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المصروفات'!N20,0)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الرواتب'!V15,0)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المصروفات'!N21,0)</f>
        <v>87850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المصروفات'!N21,0)</f>
        <v>-87850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المصروفات'!N21/(1-'⚙️ الإعدادات'!C7),0)</f>
        <v>-441.4572864321608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0F00-000000000000}">
      <formula1>"حضانة,استضافة,جلسة"</formula1>
      <formula2>0</formula2>
    </dataValidation>
    <dataValidation type="list" allowBlank="1" sqref="E4:E103" xr:uid="{00000000-0002-0000-0F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114"/>
  <sheetViews>
    <sheetView showGridLines="0" rightToLeft="1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14" customWidth="1"/>
    <col min="5" max="5" width="11" customWidth="1"/>
    <col min="6" max="6" width="10" customWidth="1"/>
    <col min="7" max="7" width="13" customWidth="1"/>
    <col min="8" max="10" width="15" customWidth="1"/>
    <col min="11" max="11" width="13" customWidth="1"/>
    <col min="12" max="12" width="18" customWidth="1"/>
  </cols>
  <sheetData>
    <row r="1" spans="2:12" ht="37.5" customHeight="1" x14ac:dyDescent="0.2">
      <c r="B1" s="14" t="s">
        <v>466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6" customHeight="1" x14ac:dyDescent="0.2"/>
    <row r="3" spans="2:12" ht="30" customHeight="1" x14ac:dyDescent="0.2">
      <c r="B3" s="21" t="s">
        <v>68</v>
      </c>
      <c r="C3" s="21" t="s">
        <v>69</v>
      </c>
      <c r="D3" s="21" t="s">
        <v>20</v>
      </c>
      <c r="E3" s="21" t="s">
        <v>74</v>
      </c>
      <c r="F3" s="21" t="s">
        <v>442</v>
      </c>
      <c r="G3" s="21" t="s">
        <v>75</v>
      </c>
      <c r="H3" s="21" t="s">
        <v>443</v>
      </c>
      <c r="I3" s="21" t="s">
        <v>444</v>
      </c>
      <c r="J3" s="21" t="s">
        <v>445</v>
      </c>
      <c r="K3" s="21" t="s">
        <v>31</v>
      </c>
      <c r="L3" s="21" t="s">
        <v>77</v>
      </c>
    </row>
    <row r="4" spans="2:12" ht="19.5" customHeight="1" x14ac:dyDescent="0.2">
      <c r="B4" s="27">
        <v>1</v>
      </c>
      <c r="C4" s="47" t="str">
        <f>'👶 بيانات الأطفال'!C4</f>
        <v>أحمد محمد</v>
      </c>
      <c r="D4" s="57" t="s">
        <v>82</v>
      </c>
      <c r="E4" s="57" t="s">
        <v>83</v>
      </c>
      <c r="F4" s="68">
        <v>1</v>
      </c>
      <c r="G4" s="58">
        <v>3500</v>
      </c>
      <c r="H4" s="69">
        <f t="shared" ref="H4:H35" si="0">IFERROR(F4*G4,0)</f>
        <v>3500</v>
      </c>
      <c r="I4" s="58"/>
      <c r="J4" s="70">
        <f t="shared" ref="J4:J35" si="1">H4-IFERROR(I4,0)</f>
        <v>3500</v>
      </c>
      <c r="K4" s="71" t="str">
        <f t="shared" ref="K4:K35" si="2">IF(IFERROR(I4,0)=0,"❌ لم يُدفع",IF(I4&gt;=H4,"✅ مدفوع","⚠️ جزئي"))</f>
        <v>❌ لم يُدفع</v>
      </c>
      <c r="L4" s="56"/>
    </row>
    <row r="5" spans="2:12" ht="19.5" customHeight="1" x14ac:dyDescent="0.2">
      <c r="B5" s="22">
        <v>2</v>
      </c>
      <c r="C5" s="17" t="str">
        <f>'👶 بيانات الأطفال'!C5</f>
        <v>فاطمة علي</v>
      </c>
      <c r="D5" s="57" t="s">
        <v>82</v>
      </c>
      <c r="E5" s="57" t="s">
        <v>83</v>
      </c>
      <c r="F5" s="68">
        <v>1</v>
      </c>
      <c r="G5" s="58">
        <v>3500</v>
      </c>
      <c r="H5" s="69">
        <f t="shared" si="0"/>
        <v>3500</v>
      </c>
      <c r="I5" s="58"/>
      <c r="J5" s="70">
        <f t="shared" si="1"/>
        <v>3500</v>
      </c>
      <c r="K5" s="72" t="str">
        <f t="shared" si="2"/>
        <v>❌ لم يُدفع</v>
      </c>
      <c r="L5" s="56"/>
    </row>
    <row r="6" spans="2:12" ht="19.5" customHeight="1" x14ac:dyDescent="0.2">
      <c r="B6" s="27">
        <v>3</v>
      </c>
      <c r="C6" s="47" t="str">
        <f>'👶 بيانات الأطفال'!C6</f>
        <v>عمر خالد</v>
      </c>
      <c r="D6" s="57" t="s">
        <v>90</v>
      </c>
      <c r="E6" s="57" t="s">
        <v>90</v>
      </c>
      <c r="F6" s="68">
        <v>0</v>
      </c>
      <c r="G6" s="58">
        <v>800</v>
      </c>
      <c r="H6" s="69">
        <f t="shared" si="0"/>
        <v>0</v>
      </c>
      <c r="I6" s="58"/>
      <c r="J6" s="70">
        <f t="shared" si="1"/>
        <v>0</v>
      </c>
      <c r="K6" s="71" t="str">
        <f t="shared" si="2"/>
        <v>❌ لم يُدفع</v>
      </c>
      <c r="L6" s="56"/>
    </row>
    <row r="7" spans="2:12" ht="19.5" customHeight="1" x14ac:dyDescent="0.2">
      <c r="B7" s="22">
        <v>4</v>
      </c>
      <c r="C7" s="17" t="str">
        <f>'👶 بيانات الأطفال'!C7</f>
        <v>نور السيد</v>
      </c>
      <c r="D7" s="57" t="s">
        <v>94</v>
      </c>
      <c r="E7" s="57" t="s">
        <v>95</v>
      </c>
      <c r="F7" s="68">
        <v>0</v>
      </c>
      <c r="G7" s="58">
        <v>200</v>
      </c>
      <c r="H7" s="69">
        <f t="shared" si="0"/>
        <v>0</v>
      </c>
      <c r="I7" s="58"/>
      <c r="J7" s="70">
        <f t="shared" si="1"/>
        <v>0</v>
      </c>
      <c r="K7" s="72" t="str">
        <f t="shared" si="2"/>
        <v>❌ لم يُدفع</v>
      </c>
      <c r="L7" s="56"/>
    </row>
    <row r="8" spans="2:12" ht="19.5" customHeight="1" x14ac:dyDescent="0.2">
      <c r="B8" s="27">
        <v>5</v>
      </c>
      <c r="C8" s="47" t="str">
        <f>'👶 بيانات الأطفال'!C8</f>
        <v>مريم إبراهيم</v>
      </c>
      <c r="D8" s="57" t="s">
        <v>82</v>
      </c>
      <c r="E8" s="57" t="s">
        <v>83</v>
      </c>
      <c r="F8" s="68">
        <v>1</v>
      </c>
      <c r="G8" s="58">
        <v>3500</v>
      </c>
      <c r="H8" s="69">
        <f t="shared" si="0"/>
        <v>3500</v>
      </c>
      <c r="I8" s="58"/>
      <c r="J8" s="70">
        <f t="shared" si="1"/>
        <v>3500</v>
      </c>
      <c r="K8" s="71" t="str">
        <f t="shared" si="2"/>
        <v>❌ لم يُدفع</v>
      </c>
      <c r="L8" s="56"/>
    </row>
    <row r="9" spans="2:12" ht="19.5" customHeight="1" x14ac:dyDescent="0.2">
      <c r="B9" s="22">
        <v>6</v>
      </c>
      <c r="C9" s="17" t="str">
        <f>'👶 بيانات الأطفال'!C9</f>
        <v>يوسف حسن</v>
      </c>
      <c r="D9" s="57" t="s">
        <v>90</v>
      </c>
      <c r="E9" s="57" t="s">
        <v>90</v>
      </c>
      <c r="F9" s="68">
        <v>0</v>
      </c>
      <c r="G9" s="58">
        <v>800</v>
      </c>
      <c r="H9" s="69">
        <f t="shared" si="0"/>
        <v>0</v>
      </c>
      <c r="I9" s="58"/>
      <c r="J9" s="70">
        <f t="shared" si="1"/>
        <v>0</v>
      </c>
      <c r="K9" s="72" t="str">
        <f t="shared" si="2"/>
        <v>❌ لم يُدفع</v>
      </c>
      <c r="L9" s="56"/>
    </row>
    <row r="10" spans="2:12" ht="19.5" customHeight="1" x14ac:dyDescent="0.2">
      <c r="B10" s="27">
        <v>7</v>
      </c>
      <c r="C10" s="47" t="str">
        <f>'👶 بيانات الأطفال'!C10</f>
        <v>سارة أحمد</v>
      </c>
      <c r="D10" s="57" t="s">
        <v>82</v>
      </c>
      <c r="E10" s="57" t="s">
        <v>83</v>
      </c>
      <c r="F10" s="68">
        <v>1</v>
      </c>
      <c r="G10" s="58">
        <v>3500</v>
      </c>
      <c r="H10" s="69">
        <f t="shared" si="0"/>
        <v>3500</v>
      </c>
      <c r="I10" s="58"/>
      <c r="J10" s="70">
        <f t="shared" si="1"/>
        <v>3500</v>
      </c>
      <c r="K10" s="71" t="str">
        <f t="shared" si="2"/>
        <v>❌ لم يُدفع</v>
      </c>
      <c r="L10" s="56"/>
    </row>
    <row r="11" spans="2:12" ht="19.5" customHeight="1" x14ac:dyDescent="0.2">
      <c r="B11" s="22">
        <v>8</v>
      </c>
      <c r="C11" s="17" t="str">
        <f>'👶 بيانات الأطفال'!C11</f>
        <v>كريم محمود</v>
      </c>
      <c r="D11" s="57" t="s">
        <v>94</v>
      </c>
      <c r="E11" s="57" t="s">
        <v>95</v>
      </c>
      <c r="F11" s="68">
        <v>0</v>
      </c>
      <c r="G11" s="58">
        <v>200</v>
      </c>
      <c r="H11" s="69">
        <f t="shared" si="0"/>
        <v>0</v>
      </c>
      <c r="I11" s="58"/>
      <c r="J11" s="70">
        <f t="shared" si="1"/>
        <v>0</v>
      </c>
      <c r="K11" s="72" t="str">
        <f t="shared" si="2"/>
        <v>❌ لم يُدفع</v>
      </c>
      <c r="L11" s="56"/>
    </row>
    <row r="12" spans="2:12" ht="19.5" customHeight="1" x14ac:dyDescent="0.2">
      <c r="B12" s="27">
        <v>9</v>
      </c>
      <c r="C12" s="47" t="str">
        <f>'👶 بيانات الأطفال'!C12</f>
        <v>لينا طارق</v>
      </c>
      <c r="D12" s="57" t="s">
        <v>82</v>
      </c>
      <c r="E12" s="57" t="s">
        <v>83</v>
      </c>
      <c r="F12" s="68">
        <v>1</v>
      </c>
      <c r="G12" s="58">
        <v>3500</v>
      </c>
      <c r="H12" s="69">
        <f t="shared" si="0"/>
        <v>3500</v>
      </c>
      <c r="I12" s="58"/>
      <c r="J12" s="70">
        <f t="shared" si="1"/>
        <v>3500</v>
      </c>
      <c r="K12" s="71" t="str">
        <f t="shared" si="2"/>
        <v>❌ لم يُدفع</v>
      </c>
      <c r="L12" s="56"/>
    </row>
    <row r="13" spans="2:12" ht="19.5" customHeight="1" x14ac:dyDescent="0.2">
      <c r="B13" s="22">
        <v>10</v>
      </c>
      <c r="C13" s="17" t="str">
        <f>'👶 بيانات الأطفال'!C13</f>
        <v>جنى وليد</v>
      </c>
      <c r="D13" s="57" t="s">
        <v>90</v>
      </c>
      <c r="E13" s="57" t="s">
        <v>90</v>
      </c>
      <c r="F13" s="68">
        <v>0</v>
      </c>
      <c r="G13" s="58">
        <v>800</v>
      </c>
      <c r="H13" s="69">
        <f t="shared" si="0"/>
        <v>0</v>
      </c>
      <c r="I13" s="58"/>
      <c r="J13" s="70">
        <f t="shared" si="1"/>
        <v>0</v>
      </c>
      <c r="K13" s="72" t="str">
        <f t="shared" si="2"/>
        <v>❌ لم يُدفع</v>
      </c>
      <c r="L13" s="56"/>
    </row>
    <row r="14" spans="2:12" ht="19.5" customHeight="1" x14ac:dyDescent="0.2">
      <c r="B14" s="27">
        <v>11</v>
      </c>
      <c r="C14" s="47" t="str">
        <f>'👶 بيانات الأطفال'!C14</f>
        <v>زياد عمر</v>
      </c>
      <c r="D14" s="57" t="s">
        <v>82</v>
      </c>
      <c r="E14" s="57" t="s">
        <v>83</v>
      </c>
      <c r="F14" s="68">
        <v>1</v>
      </c>
      <c r="G14" s="58">
        <v>3500</v>
      </c>
      <c r="H14" s="69">
        <f t="shared" si="0"/>
        <v>3500</v>
      </c>
      <c r="I14" s="58"/>
      <c r="J14" s="70">
        <f t="shared" si="1"/>
        <v>3500</v>
      </c>
      <c r="K14" s="71" t="str">
        <f t="shared" si="2"/>
        <v>❌ لم يُدفع</v>
      </c>
      <c r="L14" s="56"/>
    </row>
    <row r="15" spans="2:12" ht="19.5" customHeight="1" x14ac:dyDescent="0.2">
      <c r="B15" s="22">
        <v>12</v>
      </c>
      <c r="C15" s="17" t="str">
        <f>'👶 بيانات الأطفال'!C15</f>
        <v>ريم ناصر</v>
      </c>
      <c r="D15" s="57" t="s">
        <v>82</v>
      </c>
      <c r="E15" s="57" t="s">
        <v>83</v>
      </c>
      <c r="F15" s="68">
        <v>1</v>
      </c>
      <c r="G15" s="58">
        <v>3500</v>
      </c>
      <c r="H15" s="69">
        <f t="shared" si="0"/>
        <v>3500</v>
      </c>
      <c r="I15" s="58"/>
      <c r="J15" s="70">
        <f t="shared" si="1"/>
        <v>3500</v>
      </c>
      <c r="K15" s="72" t="str">
        <f t="shared" si="2"/>
        <v>❌ لم يُدفع</v>
      </c>
      <c r="L15" s="56"/>
    </row>
    <row r="16" spans="2:12" ht="19.5" customHeight="1" x14ac:dyDescent="0.2">
      <c r="B16" s="27">
        <v>13</v>
      </c>
      <c r="C16" s="47" t="str">
        <f>'👶 بيانات الأطفال'!C16</f>
        <v>آدم مصطفى</v>
      </c>
      <c r="D16" s="57" t="s">
        <v>90</v>
      </c>
      <c r="E16" s="57" t="s">
        <v>90</v>
      </c>
      <c r="F16" s="68">
        <v>0</v>
      </c>
      <c r="G16" s="58">
        <v>800</v>
      </c>
      <c r="H16" s="69">
        <f t="shared" si="0"/>
        <v>0</v>
      </c>
      <c r="I16" s="58"/>
      <c r="J16" s="70">
        <f t="shared" si="1"/>
        <v>0</v>
      </c>
      <c r="K16" s="71" t="str">
        <f t="shared" si="2"/>
        <v>❌ لم يُدفع</v>
      </c>
      <c r="L16" s="56"/>
    </row>
    <row r="17" spans="2:12" ht="19.5" customHeight="1" x14ac:dyDescent="0.2">
      <c r="B17" s="22">
        <v>14</v>
      </c>
      <c r="C17" s="17" t="str">
        <f>'👶 بيانات الأطفال'!C17</f>
        <v>هنا كمال</v>
      </c>
      <c r="D17" s="57" t="s">
        <v>94</v>
      </c>
      <c r="E17" s="57" t="s">
        <v>95</v>
      </c>
      <c r="F17" s="68">
        <v>0</v>
      </c>
      <c r="G17" s="58">
        <v>200</v>
      </c>
      <c r="H17" s="69">
        <f t="shared" si="0"/>
        <v>0</v>
      </c>
      <c r="I17" s="58"/>
      <c r="J17" s="70">
        <f t="shared" si="1"/>
        <v>0</v>
      </c>
      <c r="K17" s="72" t="str">
        <f t="shared" si="2"/>
        <v>❌ لم يُدفع</v>
      </c>
      <c r="L17" s="56"/>
    </row>
    <row r="18" spans="2:12" ht="19.5" customHeight="1" x14ac:dyDescent="0.2">
      <c r="B18" s="27">
        <v>15</v>
      </c>
      <c r="C18" s="47" t="str">
        <f>'👶 بيانات الأطفال'!C18</f>
        <v>تامر رشاد</v>
      </c>
      <c r="D18" s="57" t="s">
        <v>82</v>
      </c>
      <c r="E18" s="57" t="s">
        <v>83</v>
      </c>
      <c r="F18" s="68">
        <v>1</v>
      </c>
      <c r="G18" s="58">
        <v>3500</v>
      </c>
      <c r="H18" s="69">
        <f t="shared" si="0"/>
        <v>3500</v>
      </c>
      <c r="I18" s="58"/>
      <c r="J18" s="70">
        <f t="shared" si="1"/>
        <v>3500</v>
      </c>
      <c r="K18" s="71" t="str">
        <f t="shared" si="2"/>
        <v>❌ لم يُدفع</v>
      </c>
      <c r="L18" s="56"/>
    </row>
    <row r="19" spans="2:12" ht="19.5" customHeight="1" x14ac:dyDescent="0.2">
      <c r="B19" s="22">
        <v>16</v>
      </c>
      <c r="C19" s="17" t="str">
        <f>'👶 بيانات الأطفال'!C19</f>
        <v>دينا سامي</v>
      </c>
      <c r="D19" s="57" t="s">
        <v>90</v>
      </c>
      <c r="E19" s="57" t="s">
        <v>90</v>
      </c>
      <c r="F19" s="68">
        <v>0</v>
      </c>
      <c r="G19" s="58">
        <v>800</v>
      </c>
      <c r="H19" s="69">
        <f t="shared" si="0"/>
        <v>0</v>
      </c>
      <c r="I19" s="58"/>
      <c r="J19" s="70">
        <f t="shared" si="1"/>
        <v>0</v>
      </c>
      <c r="K19" s="72" t="str">
        <f t="shared" si="2"/>
        <v>❌ لم يُدفع</v>
      </c>
      <c r="L19" s="56"/>
    </row>
    <row r="20" spans="2:12" ht="19.5" customHeight="1" x14ac:dyDescent="0.2">
      <c r="B20" s="27">
        <v>17</v>
      </c>
      <c r="C20" s="47" t="str">
        <f>'👶 بيانات الأطفال'!C20</f>
        <v>باسل فاروق</v>
      </c>
      <c r="D20" s="57" t="s">
        <v>82</v>
      </c>
      <c r="E20" s="57" t="s">
        <v>83</v>
      </c>
      <c r="F20" s="68">
        <v>1</v>
      </c>
      <c r="G20" s="58">
        <v>3500</v>
      </c>
      <c r="H20" s="69">
        <f t="shared" si="0"/>
        <v>3500</v>
      </c>
      <c r="I20" s="58"/>
      <c r="J20" s="70">
        <f t="shared" si="1"/>
        <v>3500</v>
      </c>
      <c r="K20" s="71" t="str">
        <f t="shared" si="2"/>
        <v>❌ لم يُدفع</v>
      </c>
      <c r="L20" s="56"/>
    </row>
    <row r="21" spans="2:12" ht="19.5" customHeight="1" x14ac:dyDescent="0.2">
      <c r="B21" s="22">
        <v>18</v>
      </c>
      <c r="C21" s="17" t="str">
        <f>'👶 بيانات الأطفال'!C21</f>
        <v>ياسمين عادل</v>
      </c>
      <c r="D21" s="57" t="s">
        <v>94</v>
      </c>
      <c r="E21" s="57" t="s">
        <v>95</v>
      </c>
      <c r="F21" s="68">
        <v>0</v>
      </c>
      <c r="G21" s="58">
        <v>200</v>
      </c>
      <c r="H21" s="69">
        <f t="shared" si="0"/>
        <v>0</v>
      </c>
      <c r="I21" s="58"/>
      <c r="J21" s="70">
        <f t="shared" si="1"/>
        <v>0</v>
      </c>
      <c r="K21" s="72" t="str">
        <f t="shared" si="2"/>
        <v>❌ لم يُدفع</v>
      </c>
      <c r="L21" s="56"/>
    </row>
    <row r="22" spans="2:12" ht="19.5" customHeight="1" x14ac:dyDescent="0.2">
      <c r="B22" s="27">
        <v>19</v>
      </c>
      <c r="C22" s="47" t="str">
        <f>'👶 بيانات الأطفال'!C22</f>
        <v>منة الله جمال</v>
      </c>
      <c r="D22" s="57" t="s">
        <v>82</v>
      </c>
      <c r="E22" s="57" t="s">
        <v>83</v>
      </c>
      <c r="F22" s="68">
        <v>1</v>
      </c>
      <c r="G22" s="58">
        <v>3500</v>
      </c>
      <c r="H22" s="69">
        <f t="shared" si="0"/>
        <v>3500</v>
      </c>
      <c r="I22" s="58"/>
      <c r="J22" s="70">
        <f t="shared" si="1"/>
        <v>3500</v>
      </c>
      <c r="K22" s="71" t="str">
        <f t="shared" si="2"/>
        <v>❌ لم يُدفع</v>
      </c>
      <c r="L22" s="56"/>
    </row>
    <row r="23" spans="2:12" ht="19.5" customHeight="1" x14ac:dyDescent="0.2">
      <c r="B23" s="22">
        <v>20</v>
      </c>
      <c r="C23" s="17" t="str">
        <f>'👶 بيانات الأطفال'!C23</f>
        <v>حسن علاء</v>
      </c>
      <c r="D23" s="57" t="s">
        <v>90</v>
      </c>
      <c r="E23" s="57" t="s">
        <v>90</v>
      </c>
      <c r="F23" s="68">
        <v>0</v>
      </c>
      <c r="G23" s="58">
        <v>800</v>
      </c>
      <c r="H23" s="69">
        <f t="shared" si="0"/>
        <v>0</v>
      </c>
      <c r="I23" s="58"/>
      <c r="J23" s="70">
        <f t="shared" si="1"/>
        <v>0</v>
      </c>
      <c r="K23" s="72" t="str">
        <f t="shared" si="2"/>
        <v>❌ لم يُدفع</v>
      </c>
      <c r="L23" s="56"/>
    </row>
    <row r="24" spans="2:12" ht="19.5" customHeight="1" x14ac:dyDescent="0.2">
      <c r="B24" s="27">
        <v>21</v>
      </c>
      <c r="C24" s="47" t="str">
        <f>'👶 بيانات الأطفال'!C24</f>
        <v>أحمد محمد 21</v>
      </c>
      <c r="D24" s="57" t="s">
        <v>82</v>
      </c>
      <c r="E24" s="57" t="s">
        <v>83</v>
      </c>
      <c r="F24" s="68">
        <v>1</v>
      </c>
      <c r="G24" s="58">
        <v>3500</v>
      </c>
      <c r="H24" s="69">
        <f t="shared" si="0"/>
        <v>3500</v>
      </c>
      <c r="I24" s="58"/>
      <c r="J24" s="70">
        <f t="shared" si="1"/>
        <v>3500</v>
      </c>
      <c r="K24" s="71" t="str">
        <f t="shared" si="2"/>
        <v>❌ لم يُدفع</v>
      </c>
      <c r="L24" s="56"/>
    </row>
    <row r="25" spans="2:12" ht="19.5" customHeight="1" x14ac:dyDescent="0.2">
      <c r="B25" s="22">
        <v>22</v>
      </c>
      <c r="C25" s="17" t="str">
        <f>'👶 بيانات الأطفال'!C25</f>
        <v>فاطمة علي 22</v>
      </c>
      <c r="D25" s="57" t="s">
        <v>82</v>
      </c>
      <c r="E25" s="57" t="s">
        <v>83</v>
      </c>
      <c r="F25" s="68">
        <v>1</v>
      </c>
      <c r="G25" s="58">
        <v>3500</v>
      </c>
      <c r="H25" s="69">
        <f t="shared" si="0"/>
        <v>3500</v>
      </c>
      <c r="I25" s="58"/>
      <c r="J25" s="70">
        <f t="shared" si="1"/>
        <v>3500</v>
      </c>
      <c r="K25" s="72" t="str">
        <f t="shared" si="2"/>
        <v>❌ لم يُدفع</v>
      </c>
      <c r="L25" s="56"/>
    </row>
    <row r="26" spans="2:12" ht="19.5" customHeight="1" x14ac:dyDescent="0.2">
      <c r="B26" s="27">
        <v>23</v>
      </c>
      <c r="C26" s="47" t="str">
        <f>'👶 بيانات الأطفال'!C26</f>
        <v>عمر خالد 23</v>
      </c>
      <c r="D26" s="57" t="s">
        <v>90</v>
      </c>
      <c r="E26" s="57" t="s">
        <v>90</v>
      </c>
      <c r="F26" s="68">
        <v>0</v>
      </c>
      <c r="G26" s="58">
        <v>800</v>
      </c>
      <c r="H26" s="69">
        <f t="shared" si="0"/>
        <v>0</v>
      </c>
      <c r="I26" s="58"/>
      <c r="J26" s="70">
        <f t="shared" si="1"/>
        <v>0</v>
      </c>
      <c r="K26" s="71" t="str">
        <f t="shared" si="2"/>
        <v>❌ لم يُدفع</v>
      </c>
      <c r="L26" s="56"/>
    </row>
    <row r="27" spans="2:12" ht="19.5" customHeight="1" x14ac:dyDescent="0.2">
      <c r="B27" s="22">
        <v>24</v>
      </c>
      <c r="C27" s="17" t="str">
        <f>'👶 بيانات الأطفال'!C27</f>
        <v>نور السيد 24</v>
      </c>
      <c r="D27" s="57" t="s">
        <v>94</v>
      </c>
      <c r="E27" s="57" t="s">
        <v>95</v>
      </c>
      <c r="F27" s="68">
        <v>0</v>
      </c>
      <c r="G27" s="58">
        <v>200</v>
      </c>
      <c r="H27" s="69">
        <f t="shared" si="0"/>
        <v>0</v>
      </c>
      <c r="I27" s="58"/>
      <c r="J27" s="70">
        <f t="shared" si="1"/>
        <v>0</v>
      </c>
      <c r="K27" s="72" t="str">
        <f t="shared" si="2"/>
        <v>❌ لم يُدفع</v>
      </c>
      <c r="L27" s="56"/>
    </row>
    <row r="28" spans="2:12" ht="19.5" customHeight="1" x14ac:dyDescent="0.2">
      <c r="B28" s="27">
        <v>25</v>
      </c>
      <c r="C28" s="47" t="str">
        <f>'👶 بيانات الأطفال'!C28</f>
        <v>مريم إبراهيم 25</v>
      </c>
      <c r="D28" s="57" t="s">
        <v>82</v>
      </c>
      <c r="E28" s="57" t="s">
        <v>83</v>
      </c>
      <c r="F28" s="68">
        <v>1</v>
      </c>
      <c r="G28" s="58">
        <v>3500</v>
      </c>
      <c r="H28" s="69">
        <f t="shared" si="0"/>
        <v>3500</v>
      </c>
      <c r="I28" s="58"/>
      <c r="J28" s="70">
        <f t="shared" si="1"/>
        <v>3500</v>
      </c>
      <c r="K28" s="71" t="str">
        <f t="shared" si="2"/>
        <v>❌ لم يُدفع</v>
      </c>
      <c r="L28" s="56"/>
    </row>
    <row r="29" spans="2:12" ht="19.5" customHeight="1" x14ac:dyDescent="0.2">
      <c r="B29" s="22">
        <v>26</v>
      </c>
      <c r="C29" s="17" t="str">
        <f>'👶 بيانات الأطفال'!C29</f>
        <v>يوسف حسن 26</v>
      </c>
      <c r="D29" s="57" t="s">
        <v>90</v>
      </c>
      <c r="E29" s="57" t="s">
        <v>90</v>
      </c>
      <c r="F29" s="68">
        <v>0</v>
      </c>
      <c r="G29" s="58">
        <v>800</v>
      </c>
      <c r="H29" s="69">
        <f t="shared" si="0"/>
        <v>0</v>
      </c>
      <c r="I29" s="58"/>
      <c r="J29" s="70">
        <f t="shared" si="1"/>
        <v>0</v>
      </c>
      <c r="K29" s="72" t="str">
        <f t="shared" si="2"/>
        <v>❌ لم يُدفع</v>
      </c>
      <c r="L29" s="56"/>
    </row>
    <row r="30" spans="2:12" ht="19.5" customHeight="1" x14ac:dyDescent="0.2">
      <c r="B30" s="27">
        <v>27</v>
      </c>
      <c r="C30" s="47" t="str">
        <f>'👶 بيانات الأطفال'!C30</f>
        <v>سارة أحمد 27</v>
      </c>
      <c r="D30" s="57" t="s">
        <v>82</v>
      </c>
      <c r="E30" s="57" t="s">
        <v>83</v>
      </c>
      <c r="F30" s="68">
        <v>1</v>
      </c>
      <c r="G30" s="58">
        <v>3500</v>
      </c>
      <c r="H30" s="69">
        <f t="shared" si="0"/>
        <v>3500</v>
      </c>
      <c r="I30" s="58"/>
      <c r="J30" s="70">
        <f t="shared" si="1"/>
        <v>3500</v>
      </c>
      <c r="K30" s="71" t="str">
        <f t="shared" si="2"/>
        <v>❌ لم يُدفع</v>
      </c>
      <c r="L30" s="56"/>
    </row>
    <row r="31" spans="2:12" ht="19.5" customHeight="1" x14ac:dyDescent="0.2">
      <c r="B31" s="22">
        <v>28</v>
      </c>
      <c r="C31" s="17" t="str">
        <f>'👶 بيانات الأطفال'!C31</f>
        <v>كريم محمود 28</v>
      </c>
      <c r="D31" s="57" t="s">
        <v>94</v>
      </c>
      <c r="E31" s="57" t="s">
        <v>95</v>
      </c>
      <c r="F31" s="68">
        <v>0</v>
      </c>
      <c r="G31" s="58">
        <v>200</v>
      </c>
      <c r="H31" s="69">
        <f t="shared" si="0"/>
        <v>0</v>
      </c>
      <c r="I31" s="58"/>
      <c r="J31" s="70">
        <f t="shared" si="1"/>
        <v>0</v>
      </c>
      <c r="K31" s="72" t="str">
        <f t="shared" si="2"/>
        <v>❌ لم يُدفع</v>
      </c>
      <c r="L31" s="56"/>
    </row>
    <row r="32" spans="2:12" ht="19.5" customHeight="1" x14ac:dyDescent="0.2">
      <c r="B32" s="27">
        <v>29</v>
      </c>
      <c r="C32" s="47" t="str">
        <f>'👶 بيانات الأطفال'!C32</f>
        <v>لينا طارق 29</v>
      </c>
      <c r="D32" s="57" t="s">
        <v>82</v>
      </c>
      <c r="E32" s="57" t="s">
        <v>83</v>
      </c>
      <c r="F32" s="68">
        <v>1</v>
      </c>
      <c r="G32" s="58">
        <v>3500</v>
      </c>
      <c r="H32" s="69">
        <f t="shared" si="0"/>
        <v>3500</v>
      </c>
      <c r="I32" s="58"/>
      <c r="J32" s="70">
        <f t="shared" si="1"/>
        <v>3500</v>
      </c>
      <c r="K32" s="71" t="str">
        <f t="shared" si="2"/>
        <v>❌ لم يُدفع</v>
      </c>
      <c r="L32" s="56"/>
    </row>
    <row r="33" spans="2:12" ht="19.5" customHeight="1" x14ac:dyDescent="0.2">
      <c r="B33" s="22">
        <v>30</v>
      </c>
      <c r="C33" s="17" t="str">
        <f>'👶 بيانات الأطفال'!C33</f>
        <v>جنى وليد 30</v>
      </c>
      <c r="D33" s="57" t="s">
        <v>90</v>
      </c>
      <c r="E33" s="57" t="s">
        <v>90</v>
      </c>
      <c r="F33" s="68">
        <v>0</v>
      </c>
      <c r="G33" s="58">
        <v>800</v>
      </c>
      <c r="H33" s="69">
        <f t="shared" si="0"/>
        <v>0</v>
      </c>
      <c r="I33" s="58"/>
      <c r="J33" s="70">
        <f t="shared" si="1"/>
        <v>0</v>
      </c>
      <c r="K33" s="72" t="str">
        <f t="shared" si="2"/>
        <v>❌ لم يُدفع</v>
      </c>
      <c r="L33" s="56"/>
    </row>
    <row r="34" spans="2:12" ht="19.5" customHeight="1" x14ac:dyDescent="0.2">
      <c r="B34" s="27">
        <v>31</v>
      </c>
      <c r="C34" s="47" t="str">
        <f>'👶 بيانات الأطفال'!C34</f>
        <v>زياد عمر 31</v>
      </c>
      <c r="D34" s="57" t="s">
        <v>82</v>
      </c>
      <c r="E34" s="57" t="s">
        <v>83</v>
      </c>
      <c r="F34" s="68">
        <v>1</v>
      </c>
      <c r="G34" s="58">
        <v>3500</v>
      </c>
      <c r="H34" s="69">
        <f t="shared" si="0"/>
        <v>3500</v>
      </c>
      <c r="I34" s="58"/>
      <c r="J34" s="70">
        <f t="shared" si="1"/>
        <v>3500</v>
      </c>
      <c r="K34" s="71" t="str">
        <f t="shared" si="2"/>
        <v>❌ لم يُدفع</v>
      </c>
      <c r="L34" s="56"/>
    </row>
    <row r="35" spans="2:12" ht="19.5" customHeight="1" x14ac:dyDescent="0.2">
      <c r="B35" s="22">
        <v>32</v>
      </c>
      <c r="C35" s="17" t="str">
        <f>'👶 بيانات الأطفال'!C35</f>
        <v>ريم ناصر 32</v>
      </c>
      <c r="D35" s="57" t="s">
        <v>82</v>
      </c>
      <c r="E35" s="57" t="s">
        <v>83</v>
      </c>
      <c r="F35" s="68">
        <v>1</v>
      </c>
      <c r="G35" s="58">
        <v>3500</v>
      </c>
      <c r="H35" s="69">
        <f t="shared" si="0"/>
        <v>3500</v>
      </c>
      <c r="I35" s="58"/>
      <c r="J35" s="70">
        <f t="shared" si="1"/>
        <v>3500</v>
      </c>
      <c r="K35" s="72" t="str">
        <f t="shared" si="2"/>
        <v>❌ لم يُدفع</v>
      </c>
      <c r="L35" s="56"/>
    </row>
    <row r="36" spans="2:12" ht="19.5" customHeight="1" x14ac:dyDescent="0.2">
      <c r="B36" s="27">
        <v>33</v>
      </c>
      <c r="C36" s="47" t="str">
        <f>'👶 بيانات الأطفال'!C36</f>
        <v>آدم مصطفى 33</v>
      </c>
      <c r="D36" s="57" t="s">
        <v>90</v>
      </c>
      <c r="E36" s="57" t="s">
        <v>90</v>
      </c>
      <c r="F36" s="68">
        <v>0</v>
      </c>
      <c r="G36" s="58">
        <v>800</v>
      </c>
      <c r="H36" s="69">
        <f t="shared" ref="H36:H67" si="3">IFERROR(F36*G36,0)</f>
        <v>0</v>
      </c>
      <c r="I36" s="58"/>
      <c r="J36" s="70">
        <f t="shared" ref="J36:J67" si="4">H36-IFERROR(I36,0)</f>
        <v>0</v>
      </c>
      <c r="K36" s="71" t="str">
        <f t="shared" ref="K36:K67" si="5">IF(IFERROR(I36,0)=0,"❌ لم يُدفع",IF(I36&gt;=H36,"✅ مدفوع","⚠️ جزئي"))</f>
        <v>❌ لم يُدفع</v>
      </c>
      <c r="L36" s="56"/>
    </row>
    <row r="37" spans="2:12" ht="19.5" customHeight="1" x14ac:dyDescent="0.2">
      <c r="B37" s="22">
        <v>34</v>
      </c>
      <c r="C37" s="17" t="str">
        <f>'👶 بيانات الأطفال'!C37</f>
        <v>هنا كمال 34</v>
      </c>
      <c r="D37" s="57" t="s">
        <v>94</v>
      </c>
      <c r="E37" s="57" t="s">
        <v>95</v>
      </c>
      <c r="F37" s="68">
        <v>0</v>
      </c>
      <c r="G37" s="58">
        <v>200</v>
      </c>
      <c r="H37" s="69">
        <f t="shared" si="3"/>
        <v>0</v>
      </c>
      <c r="I37" s="58"/>
      <c r="J37" s="70">
        <f t="shared" si="4"/>
        <v>0</v>
      </c>
      <c r="K37" s="72" t="str">
        <f t="shared" si="5"/>
        <v>❌ لم يُدفع</v>
      </c>
      <c r="L37" s="56"/>
    </row>
    <row r="38" spans="2:12" ht="19.5" customHeight="1" x14ac:dyDescent="0.2">
      <c r="B38" s="27">
        <v>35</v>
      </c>
      <c r="C38" s="47" t="str">
        <f>'👶 بيانات الأطفال'!C38</f>
        <v>تامر رشاد 35</v>
      </c>
      <c r="D38" s="57" t="s">
        <v>82</v>
      </c>
      <c r="E38" s="57" t="s">
        <v>83</v>
      </c>
      <c r="F38" s="68">
        <v>1</v>
      </c>
      <c r="G38" s="58">
        <v>3500</v>
      </c>
      <c r="H38" s="69">
        <f t="shared" si="3"/>
        <v>3500</v>
      </c>
      <c r="I38" s="58"/>
      <c r="J38" s="70">
        <f t="shared" si="4"/>
        <v>3500</v>
      </c>
      <c r="K38" s="71" t="str">
        <f t="shared" si="5"/>
        <v>❌ لم يُدفع</v>
      </c>
      <c r="L38" s="56"/>
    </row>
    <row r="39" spans="2:12" ht="19.5" customHeight="1" x14ac:dyDescent="0.2">
      <c r="B39" s="22">
        <v>36</v>
      </c>
      <c r="C39" s="17" t="str">
        <f>'👶 بيانات الأطفال'!C39</f>
        <v>دينا سامي 36</v>
      </c>
      <c r="D39" s="57" t="s">
        <v>90</v>
      </c>
      <c r="E39" s="57" t="s">
        <v>90</v>
      </c>
      <c r="F39" s="68">
        <v>0</v>
      </c>
      <c r="G39" s="58">
        <v>800</v>
      </c>
      <c r="H39" s="69">
        <f t="shared" si="3"/>
        <v>0</v>
      </c>
      <c r="I39" s="58"/>
      <c r="J39" s="70">
        <f t="shared" si="4"/>
        <v>0</v>
      </c>
      <c r="K39" s="72" t="str">
        <f t="shared" si="5"/>
        <v>❌ لم يُدفع</v>
      </c>
      <c r="L39" s="56"/>
    </row>
    <row r="40" spans="2:12" ht="19.5" customHeight="1" x14ac:dyDescent="0.2">
      <c r="B40" s="27">
        <v>37</v>
      </c>
      <c r="C40" s="47" t="str">
        <f>'👶 بيانات الأطفال'!C40</f>
        <v>باسل فاروق 37</v>
      </c>
      <c r="D40" s="57" t="s">
        <v>82</v>
      </c>
      <c r="E40" s="57" t="s">
        <v>83</v>
      </c>
      <c r="F40" s="68">
        <v>1</v>
      </c>
      <c r="G40" s="58">
        <v>3500</v>
      </c>
      <c r="H40" s="69">
        <f t="shared" si="3"/>
        <v>3500</v>
      </c>
      <c r="I40" s="58"/>
      <c r="J40" s="70">
        <f t="shared" si="4"/>
        <v>3500</v>
      </c>
      <c r="K40" s="71" t="str">
        <f t="shared" si="5"/>
        <v>❌ لم يُدفع</v>
      </c>
      <c r="L40" s="56"/>
    </row>
    <row r="41" spans="2:12" ht="19.5" customHeight="1" x14ac:dyDescent="0.2">
      <c r="B41" s="22">
        <v>38</v>
      </c>
      <c r="C41" s="17" t="str">
        <f>'👶 بيانات الأطفال'!C41</f>
        <v>ياسمين عادل 38</v>
      </c>
      <c r="D41" s="57" t="s">
        <v>94</v>
      </c>
      <c r="E41" s="57" t="s">
        <v>95</v>
      </c>
      <c r="F41" s="68">
        <v>0</v>
      </c>
      <c r="G41" s="58">
        <v>200</v>
      </c>
      <c r="H41" s="69">
        <f t="shared" si="3"/>
        <v>0</v>
      </c>
      <c r="I41" s="58"/>
      <c r="J41" s="70">
        <f t="shared" si="4"/>
        <v>0</v>
      </c>
      <c r="K41" s="72" t="str">
        <f t="shared" si="5"/>
        <v>❌ لم يُدفع</v>
      </c>
      <c r="L41" s="56"/>
    </row>
    <row r="42" spans="2:12" ht="19.5" customHeight="1" x14ac:dyDescent="0.2">
      <c r="B42" s="27">
        <v>39</v>
      </c>
      <c r="C42" s="47" t="str">
        <f>'👶 بيانات الأطفال'!C42</f>
        <v>منة الله جمال 39</v>
      </c>
      <c r="D42" s="57" t="s">
        <v>82</v>
      </c>
      <c r="E42" s="57" t="s">
        <v>83</v>
      </c>
      <c r="F42" s="68">
        <v>1</v>
      </c>
      <c r="G42" s="58">
        <v>3500</v>
      </c>
      <c r="H42" s="69">
        <f t="shared" si="3"/>
        <v>3500</v>
      </c>
      <c r="I42" s="58"/>
      <c r="J42" s="70">
        <f t="shared" si="4"/>
        <v>3500</v>
      </c>
      <c r="K42" s="71" t="str">
        <f t="shared" si="5"/>
        <v>❌ لم يُدفع</v>
      </c>
      <c r="L42" s="56"/>
    </row>
    <row r="43" spans="2:12" ht="19.5" customHeight="1" x14ac:dyDescent="0.2">
      <c r="B43" s="22">
        <v>40</v>
      </c>
      <c r="C43" s="17" t="str">
        <f>'👶 بيانات الأطفال'!C43</f>
        <v>حسن علاء 40</v>
      </c>
      <c r="D43" s="57" t="s">
        <v>90</v>
      </c>
      <c r="E43" s="57" t="s">
        <v>90</v>
      </c>
      <c r="F43" s="68">
        <v>0</v>
      </c>
      <c r="G43" s="58">
        <v>800</v>
      </c>
      <c r="H43" s="69">
        <f t="shared" si="3"/>
        <v>0</v>
      </c>
      <c r="I43" s="58"/>
      <c r="J43" s="70">
        <f t="shared" si="4"/>
        <v>0</v>
      </c>
      <c r="K43" s="72" t="str">
        <f t="shared" si="5"/>
        <v>❌ لم يُدفع</v>
      </c>
      <c r="L43" s="56"/>
    </row>
    <row r="44" spans="2:12" ht="19.5" customHeight="1" x14ac:dyDescent="0.2">
      <c r="B44" s="27">
        <v>41</v>
      </c>
      <c r="C44" s="47" t="str">
        <f>'👶 بيانات الأطفال'!C44</f>
        <v>أحمد محمد 41</v>
      </c>
      <c r="D44" s="57" t="s">
        <v>82</v>
      </c>
      <c r="E44" s="57" t="s">
        <v>83</v>
      </c>
      <c r="F44" s="68">
        <v>1</v>
      </c>
      <c r="G44" s="58">
        <v>3500</v>
      </c>
      <c r="H44" s="69">
        <f t="shared" si="3"/>
        <v>3500</v>
      </c>
      <c r="I44" s="58"/>
      <c r="J44" s="70">
        <f t="shared" si="4"/>
        <v>3500</v>
      </c>
      <c r="K44" s="71" t="str">
        <f t="shared" si="5"/>
        <v>❌ لم يُدفع</v>
      </c>
      <c r="L44" s="56"/>
    </row>
    <row r="45" spans="2:12" ht="19.5" customHeight="1" x14ac:dyDescent="0.2">
      <c r="B45" s="22">
        <v>42</v>
      </c>
      <c r="C45" s="17" t="str">
        <f>'👶 بيانات الأطفال'!C45</f>
        <v>فاطمة علي 42</v>
      </c>
      <c r="D45" s="57" t="s">
        <v>82</v>
      </c>
      <c r="E45" s="57" t="s">
        <v>83</v>
      </c>
      <c r="F45" s="68">
        <v>1</v>
      </c>
      <c r="G45" s="58">
        <v>3500</v>
      </c>
      <c r="H45" s="69">
        <f t="shared" si="3"/>
        <v>3500</v>
      </c>
      <c r="I45" s="58"/>
      <c r="J45" s="70">
        <f t="shared" si="4"/>
        <v>3500</v>
      </c>
      <c r="K45" s="72" t="str">
        <f t="shared" si="5"/>
        <v>❌ لم يُدفع</v>
      </c>
      <c r="L45" s="56"/>
    </row>
    <row r="46" spans="2:12" ht="19.5" customHeight="1" x14ac:dyDescent="0.2">
      <c r="B46" s="27">
        <v>43</v>
      </c>
      <c r="C46" s="47" t="str">
        <f>'👶 بيانات الأطفال'!C46</f>
        <v>عمر خالد 43</v>
      </c>
      <c r="D46" s="57" t="s">
        <v>90</v>
      </c>
      <c r="E46" s="57" t="s">
        <v>90</v>
      </c>
      <c r="F46" s="68">
        <v>0</v>
      </c>
      <c r="G46" s="58">
        <v>800</v>
      </c>
      <c r="H46" s="69">
        <f t="shared" si="3"/>
        <v>0</v>
      </c>
      <c r="I46" s="58"/>
      <c r="J46" s="70">
        <f t="shared" si="4"/>
        <v>0</v>
      </c>
      <c r="K46" s="71" t="str">
        <f t="shared" si="5"/>
        <v>❌ لم يُدفع</v>
      </c>
      <c r="L46" s="56"/>
    </row>
    <row r="47" spans="2:12" ht="19.5" customHeight="1" x14ac:dyDescent="0.2">
      <c r="B47" s="22">
        <v>44</v>
      </c>
      <c r="C47" s="17" t="str">
        <f>'👶 بيانات الأطفال'!C47</f>
        <v>نور السيد 44</v>
      </c>
      <c r="D47" s="57" t="s">
        <v>94</v>
      </c>
      <c r="E47" s="57" t="s">
        <v>95</v>
      </c>
      <c r="F47" s="68">
        <v>0</v>
      </c>
      <c r="G47" s="58">
        <v>200</v>
      </c>
      <c r="H47" s="69">
        <f t="shared" si="3"/>
        <v>0</v>
      </c>
      <c r="I47" s="58"/>
      <c r="J47" s="70">
        <f t="shared" si="4"/>
        <v>0</v>
      </c>
      <c r="K47" s="72" t="str">
        <f t="shared" si="5"/>
        <v>❌ لم يُدفع</v>
      </c>
      <c r="L47" s="56"/>
    </row>
    <row r="48" spans="2:12" ht="19.5" customHeight="1" x14ac:dyDescent="0.2">
      <c r="B48" s="27">
        <v>45</v>
      </c>
      <c r="C48" s="47" t="str">
        <f>'👶 بيانات الأطفال'!C48</f>
        <v>مريم إبراهيم 45</v>
      </c>
      <c r="D48" s="57" t="s">
        <v>82</v>
      </c>
      <c r="E48" s="57" t="s">
        <v>83</v>
      </c>
      <c r="F48" s="68">
        <v>1</v>
      </c>
      <c r="G48" s="58">
        <v>3500</v>
      </c>
      <c r="H48" s="69">
        <f t="shared" si="3"/>
        <v>3500</v>
      </c>
      <c r="I48" s="58"/>
      <c r="J48" s="70">
        <f t="shared" si="4"/>
        <v>3500</v>
      </c>
      <c r="K48" s="71" t="str">
        <f t="shared" si="5"/>
        <v>❌ لم يُدفع</v>
      </c>
      <c r="L48" s="56"/>
    </row>
    <row r="49" spans="2:12" ht="19.5" customHeight="1" x14ac:dyDescent="0.2">
      <c r="B49" s="22">
        <v>46</v>
      </c>
      <c r="C49" s="17" t="str">
        <f>'👶 بيانات الأطفال'!C49</f>
        <v>يوسف حسن 46</v>
      </c>
      <c r="D49" s="57" t="s">
        <v>90</v>
      </c>
      <c r="E49" s="57" t="s">
        <v>90</v>
      </c>
      <c r="F49" s="68">
        <v>0</v>
      </c>
      <c r="G49" s="58">
        <v>800</v>
      </c>
      <c r="H49" s="69">
        <f t="shared" si="3"/>
        <v>0</v>
      </c>
      <c r="I49" s="58"/>
      <c r="J49" s="70">
        <f t="shared" si="4"/>
        <v>0</v>
      </c>
      <c r="K49" s="72" t="str">
        <f t="shared" si="5"/>
        <v>❌ لم يُدفع</v>
      </c>
      <c r="L49" s="56"/>
    </row>
    <row r="50" spans="2:12" ht="19.5" customHeight="1" x14ac:dyDescent="0.2">
      <c r="B50" s="27">
        <v>47</v>
      </c>
      <c r="C50" s="47" t="str">
        <f>'👶 بيانات الأطفال'!C50</f>
        <v>سارة أحمد 47</v>
      </c>
      <c r="D50" s="57" t="s">
        <v>82</v>
      </c>
      <c r="E50" s="57" t="s">
        <v>83</v>
      </c>
      <c r="F50" s="68">
        <v>1</v>
      </c>
      <c r="G50" s="58">
        <v>3500</v>
      </c>
      <c r="H50" s="69">
        <f t="shared" si="3"/>
        <v>3500</v>
      </c>
      <c r="I50" s="58"/>
      <c r="J50" s="70">
        <f t="shared" si="4"/>
        <v>3500</v>
      </c>
      <c r="K50" s="71" t="str">
        <f t="shared" si="5"/>
        <v>❌ لم يُدفع</v>
      </c>
      <c r="L50" s="56"/>
    </row>
    <row r="51" spans="2:12" ht="19.5" customHeight="1" x14ac:dyDescent="0.2">
      <c r="B51" s="22">
        <v>48</v>
      </c>
      <c r="C51" s="17" t="str">
        <f>'👶 بيانات الأطفال'!C51</f>
        <v>كريم محمود 48</v>
      </c>
      <c r="D51" s="57" t="s">
        <v>94</v>
      </c>
      <c r="E51" s="57" t="s">
        <v>95</v>
      </c>
      <c r="F51" s="68">
        <v>0</v>
      </c>
      <c r="G51" s="58">
        <v>200</v>
      </c>
      <c r="H51" s="69">
        <f t="shared" si="3"/>
        <v>0</v>
      </c>
      <c r="I51" s="58"/>
      <c r="J51" s="70">
        <f t="shared" si="4"/>
        <v>0</v>
      </c>
      <c r="K51" s="72" t="str">
        <f t="shared" si="5"/>
        <v>❌ لم يُدفع</v>
      </c>
      <c r="L51" s="56"/>
    </row>
    <row r="52" spans="2:12" ht="19.5" customHeight="1" x14ac:dyDescent="0.2">
      <c r="B52" s="27">
        <v>49</v>
      </c>
      <c r="C52" s="47" t="str">
        <f>'👶 بيانات الأطفال'!C52</f>
        <v>لينا طارق 49</v>
      </c>
      <c r="D52" s="57" t="s">
        <v>82</v>
      </c>
      <c r="E52" s="57" t="s">
        <v>83</v>
      </c>
      <c r="F52" s="68">
        <v>1</v>
      </c>
      <c r="G52" s="58">
        <v>3500</v>
      </c>
      <c r="H52" s="69">
        <f t="shared" si="3"/>
        <v>3500</v>
      </c>
      <c r="I52" s="58"/>
      <c r="J52" s="70">
        <f t="shared" si="4"/>
        <v>3500</v>
      </c>
      <c r="K52" s="71" t="str">
        <f t="shared" si="5"/>
        <v>❌ لم يُدفع</v>
      </c>
      <c r="L52" s="56"/>
    </row>
    <row r="53" spans="2:12" ht="19.5" customHeight="1" x14ac:dyDescent="0.2">
      <c r="B53" s="22">
        <v>50</v>
      </c>
      <c r="C53" s="17" t="str">
        <f>'👶 بيانات الأطفال'!C53</f>
        <v>جنى وليد 50</v>
      </c>
      <c r="D53" s="57" t="s">
        <v>90</v>
      </c>
      <c r="E53" s="57" t="s">
        <v>90</v>
      </c>
      <c r="F53" s="68">
        <v>0</v>
      </c>
      <c r="G53" s="58">
        <v>800</v>
      </c>
      <c r="H53" s="69">
        <f t="shared" si="3"/>
        <v>0</v>
      </c>
      <c r="I53" s="58"/>
      <c r="J53" s="70">
        <f t="shared" si="4"/>
        <v>0</v>
      </c>
      <c r="K53" s="72" t="str">
        <f t="shared" si="5"/>
        <v>❌ لم يُدفع</v>
      </c>
      <c r="L53" s="56"/>
    </row>
    <row r="54" spans="2:12" ht="19.5" customHeight="1" x14ac:dyDescent="0.2">
      <c r="B54" s="27">
        <v>51</v>
      </c>
      <c r="C54" s="47" t="str">
        <f>'👶 بيانات الأطفال'!C54</f>
        <v>زياد عمر 51</v>
      </c>
      <c r="D54" s="57" t="s">
        <v>82</v>
      </c>
      <c r="E54" s="57" t="s">
        <v>83</v>
      </c>
      <c r="F54" s="68">
        <v>1</v>
      </c>
      <c r="G54" s="58">
        <v>3500</v>
      </c>
      <c r="H54" s="69">
        <f t="shared" si="3"/>
        <v>3500</v>
      </c>
      <c r="I54" s="58"/>
      <c r="J54" s="70">
        <f t="shared" si="4"/>
        <v>3500</v>
      </c>
      <c r="K54" s="71" t="str">
        <f t="shared" si="5"/>
        <v>❌ لم يُدفع</v>
      </c>
      <c r="L54" s="56"/>
    </row>
    <row r="55" spans="2:12" ht="19.5" customHeight="1" x14ac:dyDescent="0.2">
      <c r="B55" s="22">
        <v>52</v>
      </c>
      <c r="C55" s="17" t="str">
        <f>'👶 بيانات الأطفال'!C55</f>
        <v>ريم ناصر 52</v>
      </c>
      <c r="D55" s="57" t="s">
        <v>82</v>
      </c>
      <c r="E55" s="57" t="s">
        <v>83</v>
      </c>
      <c r="F55" s="68">
        <v>1</v>
      </c>
      <c r="G55" s="58">
        <v>3500</v>
      </c>
      <c r="H55" s="69">
        <f t="shared" si="3"/>
        <v>3500</v>
      </c>
      <c r="I55" s="58"/>
      <c r="J55" s="70">
        <f t="shared" si="4"/>
        <v>3500</v>
      </c>
      <c r="K55" s="72" t="str">
        <f t="shared" si="5"/>
        <v>❌ لم يُدفع</v>
      </c>
      <c r="L55" s="56"/>
    </row>
    <row r="56" spans="2:12" ht="19.5" customHeight="1" x14ac:dyDescent="0.2">
      <c r="B56" s="27">
        <v>53</v>
      </c>
      <c r="C56" s="47" t="str">
        <f>'👶 بيانات الأطفال'!C56</f>
        <v>آدم مصطفى 53</v>
      </c>
      <c r="D56" s="57" t="s">
        <v>90</v>
      </c>
      <c r="E56" s="57" t="s">
        <v>90</v>
      </c>
      <c r="F56" s="68">
        <v>0</v>
      </c>
      <c r="G56" s="58">
        <v>800</v>
      </c>
      <c r="H56" s="69">
        <f t="shared" si="3"/>
        <v>0</v>
      </c>
      <c r="I56" s="58"/>
      <c r="J56" s="70">
        <f t="shared" si="4"/>
        <v>0</v>
      </c>
      <c r="K56" s="71" t="str">
        <f t="shared" si="5"/>
        <v>❌ لم يُدفع</v>
      </c>
      <c r="L56" s="56"/>
    </row>
    <row r="57" spans="2:12" ht="19.5" customHeight="1" x14ac:dyDescent="0.2">
      <c r="B57" s="22">
        <v>54</v>
      </c>
      <c r="C57" s="17" t="str">
        <f>'👶 بيانات الأطفال'!C57</f>
        <v>هنا كمال 54</v>
      </c>
      <c r="D57" s="57" t="s">
        <v>94</v>
      </c>
      <c r="E57" s="57" t="s">
        <v>95</v>
      </c>
      <c r="F57" s="68">
        <v>0</v>
      </c>
      <c r="G57" s="58">
        <v>200</v>
      </c>
      <c r="H57" s="69">
        <f t="shared" si="3"/>
        <v>0</v>
      </c>
      <c r="I57" s="58"/>
      <c r="J57" s="70">
        <f t="shared" si="4"/>
        <v>0</v>
      </c>
      <c r="K57" s="72" t="str">
        <f t="shared" si="5"/>
        <v>❌ لم يُدفع</v>
      </c>
      <c r="L57" s="56"/>
    </row>
    <row r="58" spans="2:12" ht="19.5" customHeight="1" x14ac:dyDescent="0.2">
      <c r="B58" s="27">
        <v>55</v>
      </c>
      <c r="C58" s="47" t="str">
        <f>'👶 بيانات الأطفال'!C58</f>
        <v>تامر رشاد 55</v>
      </c>
      <c r="D58" s="57" t="s">
        <v>82</v>
      </c>
      <c r="E58" s="57" t="s">
        <v>83</v>
      </c>
      <c r="F58" s="68">
        <v>1</v>
      </c>
      <c r="G58" s="58">
        <v>3500</v>
      </c>
      <c r="H58" s="69">
        <f t="shared" si="3"/>
        <v>3500</v>
      </c>
      <c r="I58" s="58"/>
      <c r="J58" s="70">
        <f t="shared" si="4"/>
        <v>3500</v>
      </c>
      <c r="K58" s="71" t="str">
        <f t="shared" si="5"/>
        <v>❌ لم يُدفع</v>
      </c>
      <c r="L58" s="56"/>
    </row>
    <row r="59" spans="2:12" ht="19.5" customHeight="1" x14ac:dyDescent="0.2">
      <c r="B59" s="22">
        <v>56</v>
      </c>
      <c r="C59" s="17" t="str">
        <f>'👶 بيانات الأطفال'!C59</f>
        <v>دينا سامي 56</v>
      </c>
      <c r="D59" s="57" t="s">
        <v>90</v>
      </c>
      <c r="E59" s="57" t="s">
        <v>90</v>
      </c>
      <c r="F59" s="68">
        <v>0</v>
      </c>
      <c r="G59" s="58">
        <v>800</v>
      </c>
      <c r="H59" s="69">
        <f t="shared" si="3"/>
        <v>0</v>
      </c>
      <c r="I59" s="58"/>
      <c r="J59" s="70">
        <f t="shared" si="4"/>
        <v>0</v>
      </c>
      <c r="K59" s="72" t="str">
        <f t="shared" si="5"/>
        <v>❌ لم يُدفع</v>
      </c>
      <c r="L59" s="56"/>
    </row>
    <row r="60" spans="2:12" ht="19.5" customHeight="1" x14ac:dyDescent="0.2">
      <c r="B60" s="27">
        <v>57</v>
      </c>
      <c r="C60" s="47" t="str">
        <f>'👶 بيانات الأطفال'!C60</f>
        <v>باسل فاروق 57</v>
      </c>
      <c r="D60" s="57" t="s">
        <v>82</v>
      </c>
      <c r="E60" s="57" t="s">
        <v>83</v>
      </c>
      <c r="F60" s="68">
        <v>1</v>
      </c>
      <c r="G60" s="58">
        <v>3500</v>
      </c>
      <c r="H60" s="69">
        <f t="shared" si="3"/>
        <v>3500</v>
      </c>
      <c r="I60" s="58"/>
      <c r="J60" s="70">
        <f t="shared" si="4"/>
        <v>3500</v>
      </c>
      <c r="K60" s="71" t="str">
        <f t="shared" si="5"/>
        <v>❌ لم يُدفع</v>
      </c>
      <c r="L60" s="56"/>
    </row>
    <row r="61" spans="2:12" ht="19.5" customHeight="1" x14ac:dyDescent="0.2">
      <c r="B61" s="22">
        <v>58</v>
      </c>
      <c r="C61" s="17" t="str">
        <f>'👶 بيانات الأطفال'!C61</f>
        <v>ياسمين عادل 58</v>
      </c>
      <c r="D61" s="57" t="s">
        <v>94</v>
      </c>
      <c r="E61" s="57" t="s">
        <v>95</v>
      </c>
      <c r="F61" s="68">
        <v>0</v>
      </c>
      <c r="G61" s="58">
        <v>200</v>
      </c>
      <c r="H61" s="69">
        <f t="shared" si="3"/>
        <v>0</v>
      </c>
      <c r="I61" s="58"/>
      <c r="J61" s="70">
        <f t="shared" si="4"/>
        <v>0</v>
      </c>
      <c r="K61" s="72" t="str">
        <f t="shared" si="5"/>
        <v>❌ لم يُدفع</v>
      </c>
      <c r="L61" s="56"/>
    </row>
    <row r="62" spans="2:12" ht="19.5" customHeight="1" x14ac:dyDescent="0.2">
      <c r="B62" s="27">
        <v>59</v>
      </c>
      <c r="C62" s="47" t="str">
        <f>'👶 بيانات الأطفال'!C62</f>
        <v>منة الله جمال 59</v>
      </c>
      <c r="D62" s="57" t="s">
        <v>82</v>
      </c>
      <c r="E62" s="57" t="s">
        <v>83</v>
      </c>
      <c r="F62" s="68">
        <v>1</v>
      </c>
      <c r="G62" s="58">
        <v>3500</v>
      </c>
      <c r="H62" s="69">
        <f t="shared" si="3"/>
        <v>3500</v>
      </c>
      <c r="I62" s="58"/>
      <c r="J62" s="70">
        <f t="shared" si="4"/>
        <v>3500</v>
      </c>
      <c r="K62" s="71" t="str">
        <f t="shared" si="5"/>
        <v>❌ لم يُدفع</v>
      </c>
      <c r="L62" s="56"/>
    </row>
    <row r="63" spans="2:12" ht="19.5" customHeight="1" x14ac:dyDescent="0.2">
      <c r="B63" s="22">
        <v>60</v>
      </c>
      <c r="C63" s="17" t="str">
        <f>'👶 بيانات الأطفال'!C63</f>
        <v>حسن علاء 60</v>
      </c>
      <c r="D63" s="57" t="s">
        <v>90</v>
      </c>
      <c r="E63" s="57" t="s">
        <v>90</v>
      </c>
      <c r="F63" s="68">
        <v>0</v>
      </c>
      <c r="G63" s="58">
        <v>800</v>
      </c>
      <c r="H63" s="69">
        <f t="shared" si="3"/>
        <v>0</v>
      </c>
      <c r="I63" s="58"/>
      <c r="J63" s="70">
        <f t="shared" si="4"/>
        <v>0</v>
      </c>
      <c r="K63" s="72" t="str">
        <f t="shared" si="5"/>
        <v>❌ لم يُدفع</v>
      </c>
      <c r="L63" s="56"/>
    </row>
    <row r="64" spans="2:12" ht="19.5" customHeight="1" x14ac:dyDescent="0.2">
      <c r="B64" s="27">
        <v>61</v>
      </c>
      <c r="C64" s="47" t="str">
        <f>'👶 بيانات الأطفال'!C64</f>
        <v>أحمد محمد 61</v>
      </c>
      <c r="D64" s="57" t="s">
        <v>82</v>
      </c>
      <c r="E64" s="57" t="s">
        <v>83</v>
      </c>
      <c r="F64" s="68">
        <v>1</v>
      </c>
      <c r="G64" s="58">
        <v>3500</v>
      </c>
      <c r="H64" s="69">
        <f t="shared" si="3"/>
        <v>3500</v>
      </c>
      <c r="I64" s="58"/>
      <c r="J64" s="70">
        <f t="shared" si="4"/>
        <v>3500</v>
      </c>
      <c r="K64" s="71" t="str">
        <f t="shared" si="5"/>
        <v>❌ لم يُدفع</v>
      </c>
      <c r="L64" s="56"/>
    </row>
    <row r="65" spans="2:12" ht="19.5" customHeight="1" x14ac:dyDescent="0.2">
      <c r="B65" s="22">
        <v>62</v>
      </c>
      <c r="C65" s="17" t="str">
        <f>'👶 بيانات الأطفال'!C65</f>
        <v>فاطمة علي 62</v>
      </c>
      <c r="D65" s="57" t="s">
        <v>82</v>
      </c>
      <c r="E65" s="57" t="s">
        <v>83</v>
      </c>
      <c r="F65" s="68">
        <v>1</v>
      </c>
      <c r="G65" s="58">
        <v>3500</v>
      </c>
      <c r="H65" s="69">
        <f t="shared" si="3"/>
        <v>3500</v>
      </c>
      <c r="I65" s="58"/>
      <c r="J65" s="70">
        <f t="shared" si="4"/>
        <v>3500</v>
      </c>
      <c r="K65" s="72" t="str">
        <f t="shared" si="5"/>
        <v>❌ لم يُدفع</v>
      </c>
      <c r="L65" s="56"/>
    </row>
    <row r="66" spans="2:12" ht="19.5" customHeight="1" x14ac:dyDescent="0.2">
      <c r="B66" s="27">
        <v>63</v>
      </c>
      <c r="C66" s="47" t="str">
        <f>'👶 بيانات الأطفال'!C66</f>
        <v>عمر خالد 63</v>
      </c>
      <c r="D66" s="57" t="s">
        <v>90</v>
      </c>
      <c r="E66" s="57" t="s">
        <v>90</v>
      </c>
      <c r="F66" s="68">
        <v>0</v>
      </c>
      <c r="G66" s="58">
        <v>800</v>
      </c>
      <c r="H66" s="69">
        <f t="shared" si="3"/>
        <v>0</v>
      </c>
      <c r="I66" s="58"/>
      <c r="J66" s="70">
        <f t="shared" si="4"/>
        <v>0</v>
      </c>
      <c r="K66" s="71" t="str">
        <f t="shared" si="5"/>
        <v>❌ لم يُدفع</v>
      </c>
      <c r="L66" s="56"/>
    </row>
    <row r="67" spans="2:12" ht="19.5" customHeight="1" x14ac:dyDescent="0.2">
      <c r="B67" s="22">
        <v>64</v>
      </c>
      <c r="C67" s="17" t="str">
        <f>'👶 بيانات الأطفال'!C67</f>
        <v>نور السيد 64</v>
      </c>
      <c r="D67" s="57" t="s">
        <v>94</v>
      </c>
      <c r="E67" s="57" t="s">
        <v>95</v>
      </c>
      <c r="F67" s="68">
        <v>0</v>
      </c>
      <c r="G67" s="58">
        <v>200</v>
      </c>
      <c r="H67" s="69">
        <f t="shared" si="3"/>
        <v>0</v>
      </c>
      <c r="I67" s="58"/>
      <c r="J67" s="70">
        <f t="shared" si="4"/>
        <v>0</v>
      </c>
      <c r="K67" s="72" t="str">
        <f t="shared" si="5"/>
        <v>❌ لم يُدفع</v>
      </c>
      <c r="L67" s="56"/>
    </row>
    <row r="68" spans="2:12" ht="19.5" customHeight="1" x14ac:dyDescent="0.2">
      <c r="B68" s="27">
        <v>65</v>
      </c>
      <c r="C68" s="47" t="str">
        <f>'👶 بيانات الأطفال'!C68</f>
        <v>مريم إبراهيم 65</v>
      </c>
      <c r="D68" s="57" t="s">
        <v>82</v>
      </c>
      <c r="E68" s="57" t="s">
        <v>83</v>
      </c>
      <c r="F68" s="68">
        <v>1</v>
      </c>
      <c r="G68" s="58">
        <v>3500</v>
      </c>
      <c r="H68" s="69">
        <f t="shared" ref="H68:H99" si="6">IFERROR(F68*G68,0)</f>
        <v>3500</v>
      </c>
      <c r="I68" s="58"/>
      <c r="J68" s="70">
        <f t="shared" ref="J68:J99" si="7">H68-IFERROR(I68,0)</f>
        <v>3500</v>
      </c>
      <c r="K68" s="71" t="str">
        <f t="shared" ref="K68:K103" si="8">IF(IFERROR(I68,0)=0,"❌ لم يُدفع",IF(I68&gt;=H68,"✅ مدفوع","⚠️ جزئي"))</f>
        <v>❌ لم يُدفع</v>
      </c>
      <c r="L68" s="56"/>
    </row>
    <row r="69" spans="2:12" ht="19.5" customHeight="1" x14ac:dyDescent="0.2">
      <c r="B69" s="22">
        <v>66</v>
      </c>
      <c r="C69" s="17" t="str">
        <f>'👶 بيانات الأطفال'!C69</f>
        <v>يوسف حسن 66</v>
      </c>
      <c r="D69" s="57" t="s">
        <v>90</v>
      </c>
      <c r="E69" s="57" t="s">
        <v>90</v>
      </c>
      <c r="F69" s="68">
        <v>0</v>
      </c>
      <c r="G69" s="58">
        <v>800</v>
      </c>
      <c r="H69" s="69">
        <f t="shared" si="6"/>
        <v>0</v>
      </c>
      <c r="I69" s="58"/>
      <c r="J69" s="70">
        <f t="shared" si="7"/>
        <v>0</v>
      </c>
      <c r="K69" s="72" t="str">
        <f t="shared" si="8"/>
        <v>❌ لم يُدفع</v>
      </c>
      <c r="L69" s="56"/>
    </row>
    <row r="70" spans="2:12" ht="19.5" customHeight="1" x14ac:dyDescent="0.2">
      <c r="B70" s="27">
        <v>67</v>
      </c>
      <c r="C70" s="47" t="str">
        <f>'👶 بيانات الأطفال'!C70</f>
        <v>سارة أحمد 67</v>
      </c>
      <c r="D70" s="57" t="s">
        <v>82</v>
      </c>
      <c r="E70" s="57" t="s">
        <v>83</v>
      </c>
      <c r="F70" s="68">
        <v>1</v>
      </c>
      <c r="G70" s="58">
        <v>3500</v>
      </c>
      <c r="H70" s="69">
        <f t="shared" si="6"/>
        <v>3500</v>
      </c>
      <c r="I70" s="58"/>
      <c r="J70" s="70">
        <f t="shared" si="7"/>
        <v>3500</v>
      </c>
      <c r="K70" s="71" t="str">
        <f t="shared" si="8"/>
        <v>❌ لم يُدفع</v>
      </c>
      <c r="L70" s="56"/>
    </row>
    <row r="71" spans="2:12" ht="19.5" customHeight="1" x14ac:dyDescent="0.2">
      <c r="B71" s="22">
        <v>68</v>
      </c>
      <c r="C71" s="17" t="str">
        <f>'👶 بيانات الأطفال'!C71</f>
        <v>كريم محمود 68</v>
      </c>
      <c r="D71" s="57" t="s">
        <v>94</v>
      </c>
      <c r="E71" s="57" t="s">
        <v>95</v>
      </c>
      <c r="F71" s="68">
        <v>0</v>
      </c>
      <c r="G71" s="58">
        <v>200</v>
      </c>
      <c r="H71" s="69">
        <f t="shared" si="6"/>
        <v>0</v>
      </c>
      <c r="I71" s="58"/>
      <c r="J71" s="70">
        <f t="shared" si="7"/>
        <v>0</v>
      </c>
      <c r="K71" s="72" t="str">
        <f t="shared" si="8"/>
        <v>❌ لم يُدفع</v>
      </c>
      <c r="L71" s="56"/>
    </row>
    <row r="72" spans="2:12" ht="19.5" customHeight="1" x14ac:dyDescent="0.2">
      <c r="B72" s="27">
        <v>69</v>
      </c>
      <c r="C72" s="47" t="str">
        <f>'👶 بيانات الأطفال'!C72</f>
        <v>لينا طارق 69</v>
      </c>
      <c r="D72" s="57" t="s">
        <v>82</v>
      </c>
      <c r="E72" s="57" t="s">
        <v>83</v>
      </c>
      <c r="F72" s="68">
        <v>1</v>
      </c>
      <c r="G72" s="58">
        <v>3500</v>
      </c>
      <c r="H72" s="69">
        <f t="shared" si="6"/>
        <v>3500</v>
      </c>
      <c r="I72" s="58"/>
      <c r="J72" s="70">
        <f t="shared" si="7"/>
        <v>3500</v>
      </c>
      <c r="K72" s="71" t="str">
        <f t="shared" si="8"/>
        <v>❌ لم يُدفع</v>
      </c>
      <c r="L72" s="56"/>
    </row>
    <row r="73" spans="2:12" ht="19.5" customHeight="1" x14ac:dyDescent="0.2">
      <c r="B73" s="22">
        <v>70</v>
      </c>
      <c r="C73" s="17" t="str">
        <f>'👶 بيانات الأطفال'!C73</f>
        <v>جنى وليد 70</v>
      </c>
      <c r="D73" s="57" t="s">
        <v>90</v>
      </c>
      <c r="E73" s="57" t="s">
        <v>90</v>
      </c>
      <c r="F73" s="68">
        <v>0</v>
      </c>
      <c r="G73" s="58">
        <v>800</v>
      </c>
      <c r="H73" s="69">
        <f t="shared" si="6"/>
        <v>0</v>
      </c>
      <c r="I73" s="58"/>
      <c r="J73" s="70">
        <f t="shared" si="7"/>
        <v>0</v>
      </c>
      <c r="K73" s="72" t="str">
        <f t="shared" si="8"/>
        <v>❌ لم يُدفع</v>
      </c>
      <c r="L73" s="56"/>
    </row>
    <row r="74" spans="2:12" ht="19.5" customHeight="1" x14ac:dyDescent="0.2">
      <c r="B74" s="27">
        <v>71</v>
      </c>
      <c r="C74" s="47" t="str">
        <f>'👶 بيانات الأطفال'!C74</f>
        <v>زياد عمر 71</v>
      </c>
      <c r="D74" s="57" t="s">
        <v>82</v>
      </c>
      <c r="E74" s="57" t="s">
        <v>83</v>
      </c>
      <c r="F74" s="68">
        <v>1</v>
      </c>
      <c r="G74" s="58">
        <v>3500</v>
      </c>
      <c r="H74" s="69">
        <f t="shared" si="6"/>
        <v>3500</v>
      </c>
      <c r="I74" s="58"/>
      <c r="J74" s="70">
        <f t="shared" si="7"/>
        <v>3500</v>
      </c>
      <c r="K74" s="71" t="str">
        <f t="shared" si="8"/>
        <v>❌ لم يُدفع</v>
      </c>
      <c r="L74" s="56"/>
    </row>
    <row r="75" spans="2:12" ht="19.5" customHeight="1" x14ac:dyDescent="0.2">
      <c r="B75" s="22">
        <v>72</v>
      </c>
      <c r="C75" s="17" t="str">
        <f>'👶 بيانات الأطفال'!C75</f>
        <v>ريم ناصر 72</v>
      </c>
      <c r="D75" s="57" t="s">
        <v>82</v>
      </c>
      <c r="E75" s="57" t="s">
        <v>83</v>
      </c>
      <c r="F75" s="68">
        <v>1</v>
      </c>
      <c r="G75" s="58">
        <v>3500</v>
      </c>
      <c r="H75" s="69">
        <f t="shared" si="6"/>
        <v>3500</v>
      </c>
      <c r="I75" s="58"/>
      <c r="J75" s="70">
        <f t="shared" si="7"/>
        <v>3500</v>
      </c>
      <c r="K75" s="72" t="str">
        <f t="shared" si="8"/>
        <v>❌ لم يُدفع</v>
      </c>
      <c r="L75" s="56"/>
    </row>
    <row r="76" spans="2:12" ht="19.5" customHeight="1" x14ac:dyDescent="0.2">
      <c r="B76" s="27">
        <v>73</v>
      </c>
      <c r="C76" s="47" t="str">
        <f>'👶 بيانات الأطفال'!C76</f>
        <v>آدم مصطفى 73</v>
      </c>
      <c r="D76" s="57" t="s">
        <v>90</v>
      </c>
      <c r="E76" s="57" t="s">
        <v>90</v>
      </c>
      <c r="F76" s="68">
        <v>0</v>
      </c>
      <c r="G76" s="58">
        <v>800</v>
      </c>
      <c r="H76" s="69">
        <f t="shared" si="6"/>
        <v>0</v>
      </c>
      <c r="I76" s="58"/>
      <c r="J76" s="70">
        <f t="shared" si="7"/>
        <v>0</v>
      </c>
      <c r="K76" s="71" t="str">
        <f t="shared" si="8"/>
        <v>❌ لم يُدفع</v>
      </c>
      <c r="L76" s="56"/>
    </row>
    <row r="77" spans="2:12" ht="19.5" customHeight="1" x14ac:dyDescent="0.2">
      <c r="B77" s="22">
        <v>74</v>
      </c>
      <c r="C77" s="17" t="str">
        <f>'👶 بيانات الأطفال'!C77</f>
        <v>هنا كمال 74</v>
      </c>
      <c r="D77" s="57" t="s">
        <v>94</v>
      </c>
      <c r="E77" s="57" t="s">
        <v>95</v>
      </c>
      <c r="F77" s="68">
        <v>0</v>
      </c>
      <c r="G77" s="58">
        <v>200</v>
      </c>
      <c r="H77" s="69">
        <f t="shared" si="6"/>
        <v>0</v>
      </c>
      <c r="I77" s="58"/>
      <c r="J77" s="70">
        <f t="shared" si="7"/>
        <v>0</v>
      </c>
      <c r="K77" s="72" t="str">
        <f t="shared" si="8"/>
        <v>❌ لم يُدفع</v>
      </c>
      <c r="L77" s="56"/>
    </row>
    <row r="78" spans="2:12" ht="19.5" customHeight="1" x14ac:dyDescent="0.2">
      <c r="B78" s="27">
        <v>75</v>
      </c>
      <c r="C78" s="47" t="str">
        <f>'👶 بيانات الأطفال'!C78</f>
        <v>تامر رشاد 75</v>
      </c>
      <c r="D78" s="57" t="s">
        <v>82</v>
      </c>
      <c r="E78" s="57" t="s">
        <v>83</v>
      </c>
      <c r="F78" s="68">
        <v>1</v>
      </c>
      <c r="G78" s="58">
        <v>3500</v>
      </c>
      <c r="H78" s="69">
        <f t="shared" si="6"/>
        <v>3500</v>
      </c>
      <c r="I78" s="58"/>
      <c r="J78" s="70">
        <f t="shared" si="7"/>
        <v>3500</v>
      </c>
      <c r="K78" s="71" t="str">
        <f t="shared" si="8"/>
        <v>❌ لم يُدفع</v>
      </c>
      <c r="L78" s="56"/>
    </row>
    <row r="79" spans="2:12" ht="19.5" customHeight="1" x14ac:dyDescent="0.2">
      <c r="B79" s="22">
        <v>76</v>
      </c>
      <c r="C79" s="17" t="str">
        <f>'👶 بيانات الأطفال'!C79</f>
        <v>دينا سامي 76</v>
      </c>
      <c r="D79" s="57" t="s">
        <v>90</v>
      </c>
      <c r="E79" s="57" t="s">
        <v>90</v>
      </c>
      <c r="F79" s="68">
        <v>0</v>
      </c>
      <c r="G79" s="58">
        <v>800</v>
      </c>
      <c r="H79" s="69">
        <f t="shared" si="6"/>
        <v>0</v>
      </c>
      <c r="I79" s="58"/>
      <c r="J79" s="70">
        <f t="shared" si="7"/>
        <v>0</v>
      </c>
      <c r="K79" s="72" t="str">
        <f t="shared" si="8"/>
        <v>❌ لم يُدفع</v>
      </c>
      <c r="L79" s="56"/>
    </row>
    <row r="80" spans="2:12" ht="19.5" customHeight="1" x14ac:dyDescent="0.2">
      <c r="B80" s="27">
        <v>77</v>
      </c>
      <c r="C80" s="47" t="str">
        <f>'👶 بيانات الأطفال'!C80</f>
        <v>باسل فاروق 77</v>
      </c>
      <c r="D80" s="57" t="s">
        <v>82</v>
      </c>
      <c r="E80" s="57" t="s">
        <v>83</v>
      </c>
      <c r="F80" s="68">
        <v>1</v>
      </c>
      <c r="G80" s="58">
        <v>3500</v>
      </c>
      <c r="H80" s="69">
        <f t="shared" si="6"/>
        <v>3500</v>
      </c>
      <c r="I80" s="58"/>
      <c r="J80" s="70">
        <f t="shared" si="7"/>
        <v>3500</v>
      </c>
      <c r="K80" s="71" t="str">
        <f t="shared" si="8"/>
        <v>❌ لم يُدفع</v>
      </c>
      <c r="L80" s="56"/>
    </row>
    <row r="81" spans="2:12" ht="19.5" customHeight="1" x14ac:dyDescent="0.2">
      <c r="B81" s="22">
        <v>78</v>
      </c>
      <c r="C81" s="17" t="str">
        <f>'👶 بيانات الأطفال'!C81</f>
        <v>ياسمين عادل 78</v>
      </c>
      <c r="D81" s="57" t="s">
        <v>94</v>
      </c>
      <c r="E81" s="57" t="s">
        <v>95</v>
      </c>
      <c r="F81" s="68">
        <v>0</v>
      </c>
      <c r="G81" s="58">
        <v>200</v>
      </c>
      <c r="H81" s="69">
        <f t="shared" si="6"/>
        <v>0</v>
      </c>
      <c r="I81" s="58"/>
      <c r="J81" s="70">
        <f t="shared" si="7"/>
        <v>0</v>
      </c>
      <c r="K81" s="72" t="str">
        <f t="shared" si="8"/>
        <v>❌ لم يُدفع</v>
      </c>
      <c r="L81" s="56"/>
    </row>
    <row r="82" spans="2:12" ht="19.5" customHeight="1" x14ac:dyDescent="0.2">
      <c r="B82" s="27">
        <v>79</v>
      </c>
      <c r="C82" s="47" t="str">
        <f>'👶 بيانات الأطفال'!C82</f>
        <v>منة الله جمال 79</v>
      </c>
      <c r="D82" s="57" t="s">
        <v>82</v>
      </c>
      <c r="E82" s="57" t="s">
        <v>83</v>
      </c>
      <c r="F82" s="68">
        <v>1</v>
      </c>
      <c r="G82" s="58">
        <v>3500</v>
      </c>
      <c r="H82" s="69">
        <f t="shared" si="6"/>
        <v>3500</v>
      </c>
      <c r="I82" s="58"/>
      <c r="J82" s="70">
        <f t="shared" si="7"/>
        <v>3500</v>
      </c>
      <c r="K82" s="71" t="str">
        <f t="shared" si="8"/>
        <v>❌ لم يُدفع</v>
      </c>
      <c r="L82" s="56"/>
    </row>
    <row r="83" spans="2:12" ht="19.5" customHeight="1" x14ac:dyDescent="0.2">
      <c r="B83" s="22">
        <v>80</v>
      </c>
      <c r="C83" s="17" t="str">
        <f>'👶 بيانات الأطفال'!C83</f>
        <v>حسن علاء 80</v>
      </c>
      <c r="D83" s="57" t="s">
        <v>90</v>
      </c>
      <c r="E83" s="57" t="s">
        <v>90</v>
      </c>
      <c r="F83" s="68">
        <v>0</v>
      </c>
      <c r="G83" s="58">
        <v>800</v>
      </c>
      <c r="H83" s="69">
        <f t="shared" si="6"/>
        <v>0</v>
      </c>
      <c r="I83" s="58"/>
      <c r="J83" s="70">
        <f t="shared" si="7"/>
        <v>0</v>
      </c>
      <c r="K83" s="72" t="str">
        <f t="shared" si="8"/>
        <v>❌ لم يُدفع</v>
      </c>
      <c r="L83" s="56"/>
    </row>
    <row r="84" spans="2:12" ht="19.5" customHeight="1" x14ac:dyDescent="0.2">
      <c r="B84" s="27">
        <v>81</v>
      </c>
      <c r="C84" s="47" t="str">
        <f>'👶 بيانات الأطفال'!C84</f>
        <v>أحمد محمد 81</v>
      </c>
      <c r="D84" s="57" t="s">
        <v>82</v>
      </c>
      <c r="E84" s="57" t="s">
        <v>83</v>
      </c>
      <c r="F84" s="68">
        <v>1</v>
      </c>
      <c r="G84" s="58">
        <v>3500</v>
      </c>
      <c r="H84" s="69">
        <f t="shared" si="6"/>
        <v>3500</v>
      </c>
      <c r="I84" s="58"/>
      <c r="J84" s="70">
        <f t="shared" si="7"/>
        <v>3500</v>
      </c>
      <c r="K84" s="71" t="str">
        <f t="shared" si="8"/>
        <v>❌ لم يُدفع</v>
      </c>
      <c r="L84" s="56"/>
    </row>
    <row r="85" spans="2:12" ht="19.5" customHeight="1" x14ac:dyDescent="0.2">
      <c r="B85" s="22">
        <v>82</v>
      </c>
      <c r="C85" s="17" t="str">
        <f>'👶 بيانات الأطفال'!C85</f>
        <v>فاطمة علي 82</v>
      </c>
      <c r="D85" s="57" t="s">
        <v>82</v>
      </c>
      <c r="E85" s="57" t="s">
        <v>83</v>
      </c>
      <c r="F85" s="68">
        <v>1</v>
      </c>
      <c r="G85" s="58">
        <v>3500</v>
      </c>
      <c r="H85" s="69">
        <f t="shared" si="6"/>
        <v>3500</v>
      </c>
      <c r="I85" s="58"/>
      <c r="J85" s="70">
        <f t="shared" si="7"/>
        <v>3500</v>
      </c>
      <c r="K85" s="72" t="str">
        <f t="shared" si="8"/>
        <v>❌ لم يُدفع</v>
      </c>
      <c r="L85" s="56"/>
    </row>
    <row r="86" spans="2:12" ht="19.5" customHeight="1" x14ac:dyDescent="0.2">
      <c r="B86" s="27">
        <v>83</v>
      </c>
      <c r="C86" s="47" t="str">
        <f>'👶 بيانات الأطفال'!C86</f>
        <v>عمر خالد 83</v>
      </c>
      <c r="D86" s="57" t="s">
        <v>90</v>
      </c>
      <c r="E86" s="57" t="s">
        <v>90</v>
      </c>
      <c r="F86" s="68">
        <v>0</v>
      </c>
      <c r="G86" s="58">
        <v>800</v>
      </c>
      <c r="H86" s="69">
        <f t="shared" si="6"/>
        <v>0</v>
      </c>
      <c r="I86" s="58"/>
      <c r="J86" s="70">
        <f t="shared" si="7"/>
        <v>0</v>
      </c>
      <c r="K86" s="71" t="str">
        <f t="shared" si="8"/>
        <v>❌ لم يُدفع</v>
      </c>
      <c r="L86" s="56"/>
    </row>
    <row r="87" spans="2:12" ht="19.5" customHeight="1" x14ac:dyDescent="0.2">
      <c r="B87" s="22">
        <v>84</v>
      </c>
      <c r="C87" s="17" t="str">
        <f>'👶 بيانات الأطفال'!C87</f>
        <v>نور السيد 84</v>
      </c>
      <c r="D87" s="57" t="s">
        <v>94</v>
      </c>
      <c r="E87" s="57" t="s">
        <v>95</v>
      </c>
      <c r="F87" s="68">
        <v>0</v>
      </c>
      <c r="G87" s="58">
        <v>200</v>
      </c>
      <c r="H87" s="69">
        <f t="shared" si="6"/>
        <v>0</v>
      </c>
      <c r="I87" s="58"/>
      <c r="J87" s="70">
        <f t="shared" si="7"/>
        <v>0</v>
      </c>
      <c r="K87" s="72" t="str">
        <f t="shared" si="8"/>
        <v>❌ لم يُدفع</v>
      </c>
      <c r="L87" s="56"/>
    </row>
    <row r="88" spans="2:12" ht="19.5" customHeight="1" x14ac:dyDescent="0.2">
      <c r="B88" s="27">
        <v>85</v>
      </c>
      <c r="C88" s="47" t="str">
        <f>'👶 بيانات الأطفال'!C88</f>
        <v>مريم إبراهيم 85</v>
      </c>
      <c r="D88" s="57" t="s">
        <v>82</v>
      </c>
      <c r="E88" s="57" t="s">
        <v>83</v>
      </c>
      <c r="F88" s="68">
        <v>1</v>
      </c>
      <c r="G88" s="58">
        <v>3500</v>
      </c>
      <c r="H88" s="69">
        <f t="shared" si="6"/>
        <v>3500</v>
      </c>
      <c r="I88" s="58"/>
      <c r="J88" s="70">
        <f t="shared" si="7"/>
        <v>3500</v>
      </c>
      <c r="K88" s="71" t="str">
        <f t="shared" si="8"/>
        <v>❌ لم يُدفع</v>
      </c>
      <c r="L88" s="56"/>
    </row>
    <row r="89" spans="2:12" ht="19.5" customHeight="1" x14ac:dyDescent="0.2">
      <c r="B89" s="22">
        <v>86</v>
      </c>
      <c r="C89" s="17" t="str">
        <f>'👶 بيانات الأطفال'!C89</f>
        <v>يوسف حسن 86</v>
      </c>
      <c r="D89" s="57" t="s">
        <v>90</v>
      </c>
      <c r="E89" s="57" t="s">
        <v>90</v>
      </c>
      <c r="F89" s="68">
        <v>0</v>
      </c>
      <c r="G89" s="58">
        <v>800</v>
      </c>
      <c r="H89" s="69">
        <f t="shared" si="6"/>
        <v>0</v>
      </c>
      <c r="I89" s="58"/>
      <c r="J89" s="70">
        <f t="shared" si="7"/>
        <v>0</v>
      </c>
      <c r="K89" s="72" t="str">
        <f t="shared" si="8"/>
        <v>❌ لم يُدفع</v>
      </c>
      <c r="L89" s="56"/>
    </row>
    <row r="90" spans="2:12" ht="19.5" customHeight="1" x14ac:dyDescent="0.2">
      <c r="B90" s="27">
        <v>87</v>
      </c>
      <c r="C90" s="47" t="str">
        <f>'👶 بيانات الأطفال'!C90</f>
        <v>سارة أحمد 87</v>
      </c>
      <c r="D90" s="57" t="s">
        <v>82</v>
      </c>
      <c r="E90" s="57" t="s">
        <v>83</v>
      </c>
      <c r="F90" s="68">
        <v>1</v>
      </c>
      <c r="G90" s="58">
        <v>3500</v>
      </c>
      <c r="H90" s="69">
        <f t="shared" si="6"/>
        <v>3500</v>
      </c>
      <c r="I90" s="58"/>
      <c r="J90" s="70">
        <f t="shared" si="7"/>
        <v>3500</v>
      </c>
      <c r="K90" s="71" t="str">
        <f t="shared" si="8"/>
        <v>❌ لم يُدفع</v>
      </c>
      <c r="L90" s="56"/>
    </row>
    <row r="91" spans="2:12" ht="19.5" customHeight="1" x14ac:dyDescent="0.2">
      <c r="B91" s="22">
        <v>88</v>
      </c>
      <c r="C91" s="17" t="str">
        <f>'👶 بيانات الأطفال'!C91</f>
        <v>كريم محمود 88</v>
      </c>
      <c r="D91" s="57" t="s">
        <v>94</v>
      </c>
      <c r="E91" s="57" t="s">
        <v>95</v>
      </c>
      <c r="F91" s="68">
        <v>0</v>
      </c>
      <c r="G91" s="58">
        <v>200</v>
      </c>
      <c r="H91" s="69">
        <f t="shared" si="6"/>
        <v>0</v>
      </c>
      <c r="I91" s="58"/>
      <c r="J91" s="70">
        <f t="shared" si="7"/>
        <v>0</v>
      </c>
      <c r="K91" s="72" t="str">
        <f t="shared" si="8"/>
        <v>❌ لم يُدفع</v>
      </c>
      <c r="L91" s="56"/>
    </row>
    <row r="92" spans="2:12" ht="19.5" customHeight="1" x14ac:dyDescent="0.2">
      <c r="B92" s="27">
        <v>89</v>
      </c>
      <c r="C92" s="47" t="str">
        <f>'👶 بيانات الأطفال'!C92</f>
        <v>لينا طارق 89</v>
      </c>
      <c r="D92" s="57" t="s">
        <v>82</v>
      </c>
      <c r="E92" s="57" t="s">
        <v>83</v>
      </c>
      <c r="F92" s="68">
        <v>1</v>
      </c>
      <c r="G92" s="58">
        <v>3500</v>
      </c>
      <c r="H92" s="69">
        <f t="shared" si="6"/>
        <v>3500</v>
      </c>
      <c r="I92" s="58"/>
      <c r="J92" s="70">
        <f t="shared" si="7"/>
        <v>3500</v>
      </c>
      <c r="K92" s="71" t="str">
        <f t="shared" si="8"/>
        <v>❌ لم يُدفع</v>
      </c>
      <c r="L92" s="56"/>
    </row>
    <row r="93" spans="2:12" ht="19.5" customHeight="1" x14ac:dyDescent="0.2">
      <c r="B93" s="22">
        <v>90</v>
      </c>
      <c r="C93" s="17" t="str">
        <f>'👶 بيانات الأطفال'!C93</f>
        <v>جنى وليد 90</v>
      </c>
      <c r="D93" s="57" t="s">
        <v>90</v>
      </c>
      <c r="E93" s="57" t="s">
        <v>90</v>
      </c>
      <c r="F93" s="68">
        <v>0</v>
      </c>
      <c r="G93" s="58">
        <v>800</v>
      </c>
      <c r="H93" s="69">
        <f t="shared" si="6"/>
        <v>0</v>
      </c>
      <c r="I93" s="58"/>
      <c r="J93" s="70">
        <f t="shared" si="7"/>
        <v>0</v>
      </c>
      <c r="K93" s="72" t="str">
        <f t="shared" si="8"/>
        <v>❌ لم يُدفع</v>
      </c>
      <c r="L93" s="56"/>
    </row>
    <row r="94" spans="2:12" ht="19.5" customHeight="1" x14ac:dyDescent="0.2">
      <c r="B94" s="27">
        <v>91</v>
      </c>
      <c r="C94" s="47" t="str">
        <f>'👶 بيانات الأطفال'!C94</f>
        <v>زياد عمر 91</v>
      </c>
      <c r="D94" s="57" t="s">
        <v>82</v>
      </c>
      <c r="E94" s="57" t="s">
        <v>83</v>
      </c>
      <c r="F94" s="68">
        <v>1</v>
      </c>
      <c r="G94" s="58">
        <v>3500</v>
      </c>
      <c r="H94" s="69">
        <f t="shared" si="6"/>
        <v>3500</v>
      </c>
      <c r="I94" s="58"/>
      <c r="J94" s="70">
        <f t="shared" si="7"/>
        <v>3500</v>
      </c>
      <c r="K94" s="71" t="str">
        <f t="shared" si="8"/>
        <v>❌ لم يُدفع</v>
      </c>
      <c r="L94" s="56"/>
    </row>
    <row r="95" spans="2:12" ht="19.5" customHeight="1" x14ac:dyDescent="0.2">
      <c r="B95" s="22">
        <v>92</v>
      </c>
      <c r="C95" s="17" t="str">
        <f>'👶 بيانات الأطفال'!C95</f>
        <v>ريم ناصر 92</v>
      </c>
      <c r="D95" s="57" t="s">
        <v>82</v>
      </c>
      <c r="E95" s="57" t="s">
        <v>83</v>
      </c>
      <c r="F95" s="68">
        <v>1</v>
      </c>
      <c r="G95" s="58">
        <v>3500</v>
      </c>
      <c r="H95" s="69">
        <f t="shared" si="6"/>
        <v>3500</v>
      </c>
      <c r="I95" s="58"/>
      <c r="J95" s="70">
        <f t="shared" si="7"/>
        <v>3500</v>
      </c>
      <c r="K95" s="72" t="str">
        <f t="shared" si="8"/>
        <v>❌ لم يُدفع</v>
      </c>
      <c r="L95" s="56"/>
    </row>
    <row r="96" spans="2:12" ht="19.5" customHeight="1" x14ac:dyDescent="0.2">
      <c r="B96" s="27">
        <v>93</v>
      </c>
      <c r="C96" s="47" t="str">
        <f>'👶 بيانات الأطفال'!C96</f>
        <v>آدم مصطفى 93</v>
      </c>
      <c r="D96" s="57" t="s">
        <v>90</v>
      </c>
      <c r="E96" s="57" t="s">
        <v>90</v>
      </c>
      <c r="F96" s="68">
        <v>0</v>
      </c>
      <c r="G96" s="58">
        <v>800</v>
      </c>
      <c r="H96" s="69">
        <f t="shared" si="6"/>
        <v>0</v>
      </c>
      <c r="I96" s="58"/>
      <c r="J96" s="70">
        <f t="shared" si="7"/>
        <v>0</v>
      </c>
      <c r="K96" s="71" t="str">
        <f t="shared" si="8"/>
        <v>❌ لم يُدفع</v>
      </c>
      <c r="L96" s="56"/>
    </row>
    <row r="97" spans="2:12" ht="19.5" customHeight="1" x14ac:dyDescent="0.2">
      <c r="B97" s="22">
        <v>94</v>
      </c>
      <c r="C97" s="17" t="str">
        <f>'👶 بيانات الأطفال'!C97</f>
        <v>هنا كمال 94</v>
      </c>
      <c r="D97" s="57" t="s">
        <v>94</v>
      </c>
      <c r="E97" s="57" t="s">
        <v>95</v>
      </c>
      <c r="F97" s="68">
        <v>0</v>
      </c>
      <c r="G97" s="58">
        <v>200</v>
      </c>
      <c r="H97" s="69">
        <f t="shared" si="6"/>
        <v>0</v>
      </c>
      <c r="I97" s="58"/>
      <c r="J97" s="70">
        <f t="shared" si="7"/>
        <v>0</v>
      </c>
      <c r="K97" s="72" t="str">
        <f t="shared" si="8"/>
        <v>❌ لم يُدفع</v>
      </c>
      <c r="L97" s="56"/>
    </row>
    <row r="98" spans="2:12" ht="19.5" customHeight="1" x14ac:dyDescent="0.2">
      <c r="B98" s="27">
        <v>95</v>
      </c>
      <c r="C98" s="47" t="str">
        <f>'👶 بيانات الأطفال'!C98</f>
        <v>تامر رشاد 95</v>
      </c>
      <c r="D98" s="57" t="s">
        <v>82</v>
      </c>
      <c r="E98" s="57" t="s">
        <v>83</v>
      </c>
      <c r="F98" s="68">
        <v>1</v>
      </c>
      <c r="G98" s="58">
        <v>3500</v>
      </c>
      <c r="H98" s="69">
        <f t="shared" si="6"/>
        <v>3500</v>
      </c>
      <c r="I98" s="58"/>
      <c r="J98" s="70">
        <f t="shared" si="7"/>
        <v>3500</v>
      </c>
      <c r="K98" s="71" t="str">
        <f t="shared" si="8"/>
        <v>❌ لم يُدفع</v>
      </c>
      <c r="L98" s="56"/>
    </row>
    <row r="99" spans="2:12" ht="19.5" customHeight="1" x14ac:dyDescent="0.2">
      <c r="B99" s="22">
        <v>96</v>
      </c>
      <c r="C99" s="17" t="str">
        <f>'👶 بيانات الأطفال'!C99</f>
        <v>دينا سامي 96</v>
      </c>
      <c r="D99" s="57" t="s">
        <v>90</v>
      </c>
      <c r="E99" s="57" t="s">
        <v>90</v>
      </c>
      <c r="F99" s="68">
        <v>0</v>
      </c>
      <c r="G99" s="58">
        <v>800</v>
      </c>
      <c r="H99" s="69">
        <f t="shared" si="6"/>
        <v>0</v>
      </c>
      <c r="I99" s="58"/>
      <c r="J99" s="70">
        <f t="shared" si="7"/>
        <v>0</v>
      </c>
      <c r="K99" s="72" t="str">
        <f t="shared" si="8"/>
        <v>❌ لم يُدفع</v>
      </c>
      <c r="L99" s="56"/>
    </row>
    <row r="100" spans="2:12" ht="19.5" customHeight="1" x14ac:dyDescent="0.2">
      <c r="B100" s="27">
        <v>97</v>
      </c>
      <c r="C100" s="47" t="str">
        <f>'👶 بيانات الأطفال'!C100</f>
        <v>باسل فاروق 97</v>
      </c>
      <c r="D100" s="57" t="s">
        <v>82</v>
      </c>
      <c r="E100" s="57" t="s">
        <v>83</v>
      </c>
      <c r="F100" s="68">
        <v>1</v>
      </c>
      <c r="G100" s="58">
        <v>3500</v>
      </c>
      <c r="H100" s="69">
        <f t="shared" ref="H100:H131" si="9">IFERROR(F100*G100,0)</f>
        <v>3500</v>
      </c>
      <c r="I100" s="58"/>
      <c r="J100" s="70">
        <f t="shared" ref="J100:J131" si="10">H100-IFERROR(I100,0)</f>
        <v>3500</v>
      </c>
      <c r="K100" s="71" t="str">
        <f t="shared" si="8"/>
        <v>❌ لم يُدفع</v>
      </c>
      <c r="L100" s="56"/>
    </row>
    <row r="101" spans="2:12" ht="19.5" customHeight="1" x14ac:dyDescent="0.2">
      <c r="B101" s="22">
        <v>98</v>
      </c>
      <c r="C101" s="17" t="str">
        <f>'👶 بيانات الأطفال'!C101</f>
        <v>ياسمين عادل 98</v>
      </c>
      <c r="D101" s="57" t="s">
        <v>94</v>
      </c>
      <c r="E101" s="57" t="s">
        <v>95</v>
      </c>
      <c r="F101" s="68">
        <v>0</v>
      </c>
      <c r="G101" s="58">
        <v>200</v>
      </c>
      <c r="H101" s="69">
        <f t="shared" si="9"/>
        <v>0</v>
      </c>
      <c r="I101" s="58"/>
      <c r="J101" s="70">
        <f t="shared" si="10"/>
        <v>0</v>
      </c>
      <c r="K101" s="72" t="str">
        <f t="shared" si="8"/>
        <v>❌ لم يُدفع</v>
      </c>
      <c r="L101" s="56"/>
    </row>
    <row r="102" spans="2:12" ht="19.5" customHeight="1" x14ac:dyDescent="0.2">
      <c r="B102" s="27">
        <v>99</v>
      </c>
      <c r="C102" s="47" t="str">
        <f>'👶 بيانات الأطفال'!C102</f>
        <v>منة الله جمال 99</v>
      </c>
      <c r="D102" s="57" t="s">
        <v>82</v>
      </c>
      <c r="E102" s="57" t="s">
        <v>83</v>
      </c>
      <c r="F102" s="68">
        <v>1</v>
      </c>
      <c r="G102" s="58">
        <v>3500</v>
      </c>
      <c r="H102" s="69">
        <f t="shared" si="9"/>
        <v>3500</v>
      </c>
      <c r="I102" s="58"/>
      <c r="J102" s="70">
        <f t="shared" si="10"/>
        <v>3500</v>
      </c>
      <c r="K102" s="71" t="str">
        <f t="shared" si="8"/>
        <v>❌ لم يُدفع</v>
      </c>
      <c r="L102" s="56"/>
    </row>
    <row r="103" spans="2:12" ht="19.5" customHeight="1" x14ac:dyDescent="0.2">
      <c r="B103" s="22">
        <v>100</v>
      </c>
      <c r="C103" s="17" t="str">
        <f>'👶 بيانات الأطفال'!C103</f>
        <v>حسن علاء 100</v>
      </c>
      <c r="D103" s="57" t="s">
        <v>90</v>
      </c>
      <c r="E103" s="57" t="s">
        <v>90</v>
      </c>
      <c r="F103" s="68">
        <v>0</v>
      </c>
      <c r="G103" s="58">
        <v>800</v>
      </c>
      <c r="H103" s="69">
        <f t="shared" si="9"/>
        <v>0</v>
      </c>
      <c r="I103" s="58"/>
      <c r="J103" s="70">
        <f t="shared" si="10"/>
        <v>0</v>
      </c>
      <c r="K103" s="72" t="str">
        <f t="shared" si="8"/>
        <v>❌ لم يُدفع</v>
      </c>
      <c r="L103" s="56"/>
    </row>
    <row r="104" spans="2:12" ht="25.5" customHeight="1" x14ac:dyDescent="0.2">
      <c r="B104" s="135" t="s">
        <v>446</v>
      </c>
      <c r="C104" s="135"/>
      <c r="D104" s="135"/>
      <c r="E104" s="135"/>
      <c r="F104" s="135"/>
      <c r="G104" s="135"/>
      <c r="H104" s="31">
        <f>SUM(H4:H103)</f>
        <v>175000</v>
      </c>
      <c r="I104" s="73">
        <f>SUM(I4:I103)</f>
        <v>0</v>
      </c>
      <c r="J104" s="32">
        <f>SUM(J4:J103)</f>
        <v>175000</v>
      </c>
      <c r="K104" s="74" t="str">
        <f>COUNTIF(K4:K103,"✅ مدفوع")&amp;" ✅  |  "&amp;COUNTIF(K4:K103,"❌ لم يُدفع")&amp;" ❌"</f>
        <v>0 ✅  |  100 ❌</v>
      </c>
      <c r="L104" s="39"/>
    </row>
    <row r="105" spans="2:12" ht="6" customHeight="1" x14ac:dyDescent="0.2"/>
    <row r="106" spans="2:12" ht="24" customHeight="1" x14ac:dyDescent="0.2">
      <c r="B106" s="7" t="s">
        <v>447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ht="21.75" customHeight="1" x14ac:dyDescent="0.2">
      <c r="B107" s="138" t="s">
        <v>448</v>
      </c>
      <c r="C107" s="138"/>
      <c r="D107" s="138"/>
      <c r="E107" s="138"/>
      <c r="F107" s="138"/>
      <c r="G107" s="138"/>
      <c r="H107" s="117">
        <f>H104</f>
        <v>175000</v>
      </c>
      <c r="I107" s="117"/>
      <c r="J107" s="117"/>
      <c r="K107" s="117"/>
      <c r="L107" s="117"/>
    </row>
    <row r="108" spans="2:12" ht="21.75" customHeight="1" x14ac:dyDescent="0.2">
      <c r="B108" s="138" t="s">
        <v>449</v>
      </c>
      <c r="C108" s="138"/>
      <c r="D108" s="138"/>
      <c r="E108" s="138"/>
      <c r="F108" s="138"/>
      <c r="G108" s="138"/>
      <c r="H108" s="117">
        <f>I104</f>
        <v>0</v>
      </c>
      <c r="I108" s="117"/>
      <c r="J108" s="117"/>
      <c r="K108" s="117"/>
      <c r="L108" s="117"/>
    </row>
    <row r="109" spans="2:12" ht="21.75" customHeight="1" x14ac:dyDescent="0.2">
      <c r="B109" s="138" t="s">
        <v>450</v>
      </c>
      <c r="C109" s="138"/>
      <c r="D109" s="138"/>
      <c r="E109" s="138"/>
      <c r="F109" s="138"/>
      <c r="G109" s="138"/>
      <c r="H109" s="139">
        <f>IFERROR('💸 المصروفات'!O20,0)</f>
        <v>25900</v>
      </c>
      <c r="I109" s="139"/>
      <c r="J109" s="139"/>
      <c r="K109" s="139"/>
      <c r="L109" s="139"/>
    </row>
    <row r="110" spans="2:12" ht="21.75" customHeight="1" x14ac:dyDescent="0.2">
      <c r="B110" s="138" t="s">
        <v>451</v>
      </c>
      <c r="C110" s="138"/>
      <c r="D110" s="138"/>
      <c r="E110" s="138"/>
      <c r="F110" s="138"/>
      <c r="G110" s="138"/>
      <c r="H110" s="139">
        <f>IFERROR('👔 الرواتب'!W15,0)</f>
        <v>61950</v>
      </c>
      <c r="I110" s="139"/>
      <c r="J110" s="139"/>
      <c r="K110" s="139"/>
      <c r="L110" s="139"/>
    </row>
    <row r="111" spans="2:12" ht="21.75" customHeight="1" x14ac:dyDescent="0.2">
      <c r="B111" s="138" t="s">
        <v>452</v>
      </c>
      <c r="C111" s="138"/>
      <c r="D111" s="138"/>
      <c r="E111" s="138"/>
      <c r="F111" s="138"/>
      <c r="G111" s="138"/>
      <c r="H111" s="139">
        <f>IFERROR('💸 المصروفات'!O21,0)</f>
        <v>87850</v>
      </c>
      <c r="I111" s="139"/>
      <c r="J111" s="139"/>
      <c r="K111" s="139"/>
      <c r="L111" s="139"/>
    </row>
    <row r="112" spans="2:12" ht="21.75" customHeight="1" x14ac:dyDescent="0.2">
      <c r="B112" s="138" t="s">
        <v>453</v>
      </c>
      <c r="C112" s="138"/>
      <c r="D112" s="138"/>
      <c r="E112" s="138"/>
      <c r="F112" s="138"/>
      <c r="G112" s="138"/>
      <c r="H112" s="140">
        <f>I104-IFERROR('💸 المصروفات'!O21,0)</f>
        <v>-87850</v>
      </c>
      <c r="I112" s="140"/>
      <c r="J112" s="140"/>
      <c r="K112" s="140"/>
      <c r="L112" s="140"/>
    </row>
    <row r="113" spans="2:12" ht="21.75" customHeight="1" x14ac:dyDescent="0.2">
      <c r="B113" s="138" t="s">
        <v>454</v>
      </c>
      <c r="C113" s="138"/>
      <c r="D113" s="138"/>
      <c r="E113" s="138"/>
      <c r="F113" s="138"/>
      <c r="G113" s="138"/>
      <c r="H113" s="141">
        <f>IFERROR('💸 المصروفات'!O21/(1-'⚙️ الإعدادات'!C7),0)</f>
        <v>-441.4572864321608</v>
      </c>
      <c r="I113" s="141"/>
      <c r="J113" s="141"/>
      <c r="K113" s="141"/>
      <c r="L113" s="141"/>
    </row>
    <row r="114" spans="2:12" ht="21.75" customHeight="1" x14ac:dyDescent="0.2">
      <c r="B114" s="138" t="s">
        <v>455</v>
      </c>
      <c r="C114" s="138"/>
      <c r="D114" s="138"/>
      <c r="E114" s="138"/>
      <c r="F114" s="138"/>
      <c r="G114" s="138"/>
      <c r="H114" s="142">
        <f>IFERROR(I104/H104,0)</f>
        <v>0</v>
      </c>
      <c r="I114" s="142"/>
      <c r="J114" s="142"/>
      <c r="K114" s="142"/>
      <c r="L114" s="142"/>
    </row>
  </sheetData>
  <sheetProtection password="CC3D" sheet="1" formatCells="0" formatColumns="0" formatRows="0"/>
  <mergeCells count="19">
    <mergeCell ref="B114:G114"/>
    <mergeCell ref="H114:L114"/>
    <mergeCell ref="B111:G111"/>
    <mergeCell ref="H111:L111"/>
    <mergeCell ref="B112:G112"/>
    <mergeCell ref="H112:L112"/>
    <mergeCell ref="B113:G113"/>
    <mergeCell ref="H113:L113"/>
    <mergeCell ref="B108:G108"/>
    <mergeCell ref="H108:L108"/>
    <mergeCell ref="B109:G109"/>
    <mergeCell ref="H109:L109"/>
    <mergeCell ref="B110:G110"/>
    <mergeCell ref="H110:L110"/>
    <mergeCell ref="B1:L1"/>
    <mergeCell ref="B104:G104"/>
    <mergeCell ref="B106:L106"/>
    <mergeCell ref="B107:G107"/>
    <mergeCell ref="H107:L107"/>
  </mergeCells>
  <dataValidations count="2">
    <dataValidation type="list" allowBlank="1" sqref="D4:D103" xr:uid="{00000000-0002-0000-1000-000000000000}">
      <formula1>"حضانة,استضافة,جلسة"</formula1>
      <formula2>0</formula2>
    </dataValidation>
    <dataValidation type="list" allowBlank="1" sqref="E4:E103" xr:uid="{00000000-0002-0000-1000-000001000000}">
      <formula1>"شهر,يوم,ساعة,جلسة"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📊 داشبورد</vt:lpstr>
      <vt:lpstr>⚙️ الإعدادات</vt:lpstr>
      <vt:lpstr>👶 بيانات الأطفال</vt:lpstr>
      <vt:lpstr>👔 الرواتب</vt:lpstr>
      <vt:lpstr>💸 المصروفات</vt:lpstr>
      <vt:lpstr>📄 كشف حساب</vt:lpstr>
      <vt:lpstr>🎯 تخطيط التارجت</vt:lpstr>
      <vt:lpstr>يناير</vt:lpstr>
      <vt:lpstr>فبراير</vt:lpstr>
      <vt:lpstr>مارس</vt:lpstr>
      <vt:lpstr>أبريل</vt:lpstr>
      <vt:lpstr>مايو</vt:lpstr>
      <vt:lpstr>يونيو</vt:lpstr>
      <vt:lpstr>يوليو</vt:lpstr>
      <vt:lpstr>أغسطس</vt:lpstr>
      <vt:lpstr>سبتمبر</vt:lpstr>
      <vt:lpstr>أكتوبر</vt:lpstr>
      <vt:lpstr>نوفمبر</vt:lpstr>
      <vt:lpstr>ديسمبر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AlLithy</cp:lastModifiedBy>
  <cp:revision>0</cp:revision>
  <dcterms:created xsi:type="dcterms:W3CDTF">2026-04-29T20:17:44Z</dcterms:created>
  <dcterms:modified xsi:type="dcterms:W3CDTF">2026-04-29T21:04:41Z</dcterms:modified>
  <dc:language>en-US</dc:language>
</cp:coreProperties>
</file>